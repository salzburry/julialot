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Cover" sheetId="1" state="visible" r:id="rId1"/>
    <sheet name="2.QC Review" sheetId="2" state="visible" r:id="rId2"/>
    <sheet name="3.LOT2_5_BASE" sheetId="3" state="visible" r:id="rId3"/>
    <sheet name="4.LOT2_5_BASE_END" sheetId="4" state="visible" r:id="rId4"/>
    <sheet name="5.SCT_CART_LOT_START" sheetId="5" state="visible" r:id="rId5"/>
    <sheet name="6.Scenarios" sheetId="6" state="visible" r:id="rId6"/>
    <sheet name="7.Open_Questions" sheetId="7" state="visible" r:id="rId7"/>
    <sheet name="8.Timelines" sheetId="8" state="visible" r:id="rId8"/>
    <sheet name="9.Decision_Flo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F4E78"/>
      <sz val="14"/>
    </font>
    <font>
      <name val="Calibri"/>
      <b val="1"/>
      <color rgb="00000000"/>
      <sz val="9"/>
    </font>
    <font>
      <name val="Calibri"/>
      <b val="1"/>
      <color rgb="00FFFFFF"/>
      <sz val="9"/>
    </font>
    <font>
      <name val="Calibri"/>
      <b val="1"/>
      <sz val="8"/>
    </font>
    <font>
      <name val="Calibri"/>
      <b val="1"/>
      <color rgb="00000000"/>
      <sz val="8"/>
    </font>
    <font>
      <name val="Calibri"/>
      <b val="1"/>
      <color rgb="00FFFFFF"/>
      <sz val="8"/>
    </font>
  </fonts>
  <fills count="1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F4B084"/>
      </patternFill>
    </fill>
    <fill>
      <patternFill patternType="solid">
        <fgColor rgb="00C6E0B4"/>
      </patternFill>
    </fill>
    <fill>
      <patternFill patternType="solid">
        <fgColor rgb="00FFD966"/>
      </patternFill>
    </fill>
    <fill>
      <patternFill patternType="solid">
        <fgColor rgb="00B4A7D6"/>
      </patternFill>
    </fill>
    <fill>
      <patternFill patternType="solid">
        <fgColor rgb="00FFE699"/>
      </patternFill>
    </fill>
    <fill>
      <patternFill patternType="solid">
        <fgColor rgb="00FF9900"/>
      </patternFill>
    </fill>
    <fill>
      <patternFill patternType="solid">
        <fgColor rgb="00C00000"/>
      </patternFill>
    </fill>
    <fill>
      <patternFill patternType="solid">
        <fgColor rgb="007030A0"/>
      </patternFill>
    </fill>
    <fill>
      <patternFill patternType="solid">
        <fgColor rgb="00404040"/>
      </patternFill>
    </fill>
    <fill>
      <patternFill patternType="solid">
        <fgColor rgb="000070C0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999999"/>
      </left>
      <right style="thin">
        <color rgb="00999999"/>
      </right>
      <top style="medium">
        <color rgb="00FFE699"/>
      </top>
      <bottom style="thin">
        <color rgb="0099999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2" fillId="2" borderId="1" pivotButton="0" quotePrefix="0" xfId="0"/>
    <xf numFmtId="0" fontId="9" fillId="2" borderId="1" applyAlignment="1" pivotButton="0" quotePrefix="0" xfId="0">
      <alignment horizontal="center"/>
    </xf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0" fillId="6" borderId="6" pivotButton="0" quotePrefix="0" xfId="0"/>
    <xf numFmtId="0" fontId="0" fillId="6" borderId="1" pivotButton="0" quotePrefix="0" xfId="0"/>
    <xf numFmtId="0" fontId="10" fillId="16" borderId="6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1" pivotButton="0" quotePrefix="0" xfId="0"/>
    <xf numFmtId="0" fontId="10" fillId="12" borderId="1" applyAlignment="1" pivotButton="0" quotePrefix="0" xfId="0">
      <alignment horizontal="center" vertical="center"/>
    </xf>
    <xf numFmtId="0" fontId="10" fillId="12" borderId="6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0" fontId="0" fillId="8" borderId="6" pivotButton="0" quotePrefix="0" xfId="0"/>
    <xf numFmtId="0" fontId="0" fillId="8" borderId="1" pivotButton="0" quotePrefix="0" xfId="0"/>
    <xf numFmtId="0" fontId="11" fillId="14" borderId="6" applyAlignment="1" pivotButton="0" quotePrefix="0" xfId="0">
      <alignment horizontal="center" vertical="center"/>
    </xf>
    <xf numFmtId="0" fontId="11" fillId="15" borderId="1" applyAlignment="1" pivotButton="0" quotePrefix="0" xfId="0">
      <alignment horizontal="center" vertical="center"/>
    </xf>
    <xf numFmtId="0" fontId="2" fillId="1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LOT 2-5 Programming Specification (DRAFT)</t>
        </is>
      </c>
    </row>
    <row r="3">
      <c r="A3" s="2" t="inlineStr">
        <is>
          <t>Study</t>
        </is>
      </c>
      <c r="B3" s="3" t="inlineStr">
        <is>
          <t>Blenrep Epi - MM LOT Refresh 2026</t>
        </is>
      </c>
    </row>
    <row r="4">
      <c r="A4" s="2" t="inlineStr">
        <is>
          <t>Document</t>
        </is>
      </c>
      <c r="B4" s="3" t="inlineStr">
        <is>
          <t>LOT 2-5 Base &amp; Base End Programming Spec</t>
        </is>
      </c>
    </row>
    <row r="5">
      <c r="A5" s="2" t="inlineStr">
        <is>
          <t>Status</t>
        </is>
      </c>
      <c r="B5" s="3" t="inlineStr">
        <is>
          <t>DRAFT - first stab; for QC</t>
        </is>
      </c>
    </row>
    <row r="6">
      <c r="A6" s="2" t="inlineStr">
        <is>
          <t>Draft Date</t>
        </is>
      </c>
      <c r="B6" s="3" t="inlineStr">
        <is>
          <t>30-Apr-2026</t>
        </is>
      </c>
    </row>
    <row r="7">
      <c r="A7" s="2" t="inlineStr">
        <is>
          <t>Source Protocol</t>
        </is>
      </c>
      <c r="B7" s="3" t="inlineStr">
        <is>
          <t>Lot protocol Apr 13.pdf (v6)</t>
        </is>
      </c>
    </row>
    <row r="8">
      <c r="A8" s="2" t="inlineStr">
        <is>
          <t>Parent Spec</t>
        </is>
      </c>
      <c r="B8" s="3" t="inlineStr">
        <is>
          <t>lot1baseapr18.pdf / lot1baseendupdatedapr19.pdf</t>
        </is>
      </c>
    </row>
    <row r="9">
      <c r="A9" s="2" t="inlineStr">
        <is>
          <t>Reference</t>
        </is>
      </c>
      <c r="B9" s="3" t="inlineStr">
        <is>
          <t>Apr 22 meeting minutes</t>
        </is>
      </c>
    </row>
    <row r="10">
      <c r="A10" s="3" t="inlineStr"/>
      <c r="B10" s="3" t="inlineStr"/>
    </row>
    <row r="11">
      <c r="A11" s="4" t="inlineStr">
        <is>
          <t>Tabs</t>
        </is>
      </c>
      <c r="B11" s="5" t="inlineStr"/>
    </row>
    <row r="12">
      <c r="A12" s="2" t="inlineStr">
        <is>
          <t>1.Cover</t>
        </is>
      </c>
      <c r="B12" s="3" t="inlineStr">
        <is>
          <t>This page</t>
        </is>
      </c>
    </row>
    <row r="13">
      <c r="A13" s="2" t="inlineStr">
        <is>
          <t>2.QC Review</t>
        </is>
      </c>
      <c r="B13" s="3" t="inlineStr">
        <is>
          <t>QC sign-off log</t>
        </is>
      </c>
    </row>
    <row r="14">
      <c r="A14" s="2" t="inlineStr">
        <is>
          <t>3.LOT2_5_BASE</t>
        </is>
      </c>
      <c r="B14" s="3" t="inlineStr">
        <is>
          <t>LOT 2-5 base period definition (start, induction, regimen)</t>
        </is>
      </c>
    </row>
    <row r="15">
      <c r="A15" s="2" t="inlineStr">
        <is>
          <t>4.LOT2_5_BASE_END</t>
        </is>
      </c>
      <c r="B15" s="3" t="inlineStr">
        <is>
          <t>LOT 2-5 base end date and end reason derivation</t>
        </is>
      </c>
    </row>
    <row r="16">
      <c r="A16" s="2" t="inlineStr">
        <is>
          <t>5.SCT_CART_LOT_START</t>
        </is>
      </c>
      <c r="B16" s="3" t="inlineStr">
        <is>
          <t>Rules for SCT/ALLO/CAR-T as LOT 2-5 starting events</t>
        </is>
      </c>
    </row>
    <row r="17">
      <c r="A17" s="2" t="inlineStr">
        <is>
          <t>6.Scenarios</t>
        </is>
      </c>
      <c r="B17" s="3" t="inlineStr">
        <is>
          <t>Worked scenarios LOT2-LOT5</t>
        </is>
      </c>
    </row>
    <row r="18">
      <c r="A18" s="2" t="inlineStr">
        <is>
          <t>7.Open_Questions</t>
        </is>
      </c>
      <c r="B18" s="3" t="inlineStr">
        <is>
          <t>Items needing Julia's review</t>
        </is>
      </c>
    </row>
    <row r="19">
      <c r="A19" s="2" t="inlineStr">
        <is>
          <t>8.Timelines</t>
        </is>
      </c>
      <c r="B19" s="3" t="inlineStr">
        <is>
          <t>Gantt-style patient journey examples (visual)</t>
        </is>
      </c>
    </row>
    <row r="20">
      <c r="A20" s="2" t="inlineStr">
        <is>
          <t>9.Decision_Flow</t>
        </is>
      </c>
      <c r="B20" s="3" t="inlineStr">
        <is>
          <t>Decision tree for when LOT(N+1) starts</t>
        </is>
      </c>
    </row>
    <row r="21">
      <c r="A21" s="3" t="inlineStr"/>
      <c r="B21" s="3" t="inlineStr"/>
    </row>
    <row r="22">
      <c r="A22" s="4" t="inlineStr">
        <is>
          <t>Key differences vs LOT1</t>
        </is>
      </c>
      <c r="B22" s="5" t="inlineStr"/>
    </row>
    <row r="23">
      <c r="A23" s="2" t="inlineStr">
        <is>
          <t>Induction window</t>
        </is>
      </c>
      <c r="B23" s="3" t="inlineStr">
        <is>
          <t>30d (LOT1 = 60d)</t>
        </is>
      </c>
    </row>
    <row r="24">
      <c r="A24" s="2" t="inlineStr">
        <is>
          <t>LOT start trigger</t>
        </is>
      </c>
      <c r="B24" s="3" t="inlineStr">
        <is>
          <t>Earliest of: new MM agent / ALLO SCT / CAR-T / unplanned AUTO</t>
        </is>
      </c>
    </row>
    <row r="25">
      <c r="A25" s="2" t="inlineStr">
        <is>
          <t>Numbering</t>
        </is>
      </c>
      <c r="B25" s="3" t="inlineStr">
        <is>
          <t>LOT_NUM = 2..5</t>
        </is>
      </c>
    </row>
    <row r="26">
      <c r="A26" s="2" t="inlineStr">
        <is>
          <t>Maintenance</t>
        </is>
      </c>
      <c r="B26" s="3" t="inlineStr">
        <is>
          <t>contains_mtx_reg flag only; no standalone maintenance LOT (inherits LOT1 code). Q5.</t>
        </is>
      </c>
    </row>
    <row r="27">
      <c r="A27" s="2" t="inlineStr">
        <is>
          <t>Steroids</t>
        </is>
      </c>
      <c r="B27" s="3" t="inlineStr">
        <is>
          <t>Excluded from regimen.</t>
        </is>
      </c>
    </row>
    <row r="28">
      <c r="A28" s="2" t="inlineStr">
        <is>
          <t>Biosimilar subs</t>
        </is>
      </c>
      <c r="B28" s="3" t="inlineStr">
        <is>
          <t>Do not advance LOT.</t>
        </is>
      </c>
    </row>
    <row r="29">
      <c r="A29" s="2" t="inlineStr">
        <is>
          <t>CAR-T consolidation</t>
        </is>
      </c>
      <c r="B29" s="3" t="inlineStr">
        <is>
          <t>45d (Apr 22 decision; Q11 resolved).</t>
        </is>
      </c>
    </row>
    <row r="30">
      <c r="A30" s="2" t="inlineStr">
        <is>
          <t>Disenrollment</t>
        </is>
      </c>
      <c r="B30" s="3" t="inlineStr">
        <is>
          <t>PRIMARY: ignored. SENSITIVITY: ENDDATE_CE cap, reason = DISENROLLMENT (Q12 resolved).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30" customWidth="1" min="4" max="4"/>
    <col width="70" customWidth="1" min="5" max="5"/>
    <col width="12" customWidth="1" min="6" max="6"/>
  </cols>
  <sheetData>
    <row r="1">
      <c r="A1" s="6" t="inlineStr">
        <is>
          <t>Date</t>
        </is>
      </c>
      <c r="B1" s="6" t="inlineStr">
        <is>
          <t>Reviewer</t>
        </is>
      </c>
      <c r="C1" s="6" t="inlineStr">
        <is>
          <t>Initials</t>
        </is>
      </c>
      <c r="D1" s="6" t="inlineStr">
        <is>
          <t>Section / Variable</t>
        </is>
      </c>
      <c r="E1" s="6" t="inlineStr">
        <is>
          <t>Comment</t>
        </is>
      </c>
      <c r="F1" s="6" t="inlineStr">
        <is>
          <t>Status</t>
        </is>
      </c>
    </row>
    <row r="2">
      <c r="A2" s="7" t="inlineStr">
        <is>
          <t>30-Apr-2026</t>
        </is>
      </c>
      <c r="B2" s="7" t="inlineStr">
        <is>
          <t>Onkar</t>
        </is>
      </c>
      <c r="C2" s="7" t="inlineStr">
        <is>
          <t>OK</t>
        </is>
      </c>
      <c r="D2" s="7" t="inlineStr">
        <is>
          <t>Whole sheet</t>
        </is>
      </c>
      <c r="E2" s="7" t="inlineStr">
        <is>
          <t>First-pass draft created from LOT1 spec + Apr22 meeting notes</t>
        </is>
      </c>
      <c r="F2" s="7" t="inlineStr">
        <is>
          <t>Draft</t>
        </is>
      </c>
    </row>
    <row r="3">
      <c r="A3" s="7" t="inlineStr"/>
      <c r="B3" s="7" t="inlineStr">
        <is>
          <t>Julia Moore</t>
        </is>
      </c>
      <c r="C3" s="7" t="inlineStr">
        <is>
          <t>JM</t>
        </is>
      </c>
      <c r="D3" s="7" t="inlineStr">
        <is>
          <t>Pending review</t>
        </is>
      </c>
      <c r="E3" s="7" t="inlineStr"/>
      <c r="F3" s="7" t="inlineStr">
        <is>
          <t>Open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2" customWidth="1" min="3" max="3"/>
    <col width="22" customWidth="1" min="4" max="4"/>
    <col width="70" customWidth="1" min="5" max="5"/>
    <col width="30" customWidth="1" min="6" max="6"/>
    <col width="60" customWidth="1" min="7" max="7"/>
    <col width="18" customWidth="1" min="8" max="8"/>
  </cols>
  <sheetData>
    <row r="1" ht="36" customHeight="1">
      <c r="A1" s="6" t="inlineStr">
        <is>
          <t>Time Period</t>
        </is>
      </c>
      <c r="B1" s="6" t="inlineStr">
        <is>
          <t>Variable</t>
        </is>
      </c>
      <c r="C1" s="6" t="inlineStr">
        <is>
          <t>Label</t>
        </is>
      </c>
      <c r="D1" s="6" t="inlineStr">
        <is>
          <t>Values</t>
        </is>
      </c>
      <c r="E1" s="6" t="inlineStr">
        <is>
          <t>Definition</t>
        </is>
      </c>
      <c r="F1" s="6" t="inlineStr">
        <is>
          <t>Code lists / Group</t>
        </is>
      </c>
      <c r="G1" s="6" t="inlineStr">
        <is>
          <t>Programming Notes</t>
        </is>
      </c>
      <c r="H1" s="6" t="inlineStr">
        <is>
          <t>QC Reviewed (Initials - Date)</t>
        </is>
      </c>
    </row>
    <row r="2">
      <c r="A2" s="7" t="inlineStr">
        <is>
          <t>FU_PD</t>
        </is>
      </c>
      <c r="B2" s="7" t="inlineStr">
        <is>
          <t>LOT_NUM</t>
        </is>
      </c>
      <c r="C2" s="7" t="inlineStr">
        <is>
          <t>Line of therapy number</t>
        </is>
      </c>
      <c r="D2" s="7" t="inlineStr">
        <is>
          <t>2, 3, 4, 5</t>
        </is>
      </c>
      <c r="E2" s="7" t="inlineStr">
        <is>
          <t>Sequential index of the line of therapy after LOT1. LOT2 starts after LOT1 ends; LOT3 after LOT2; etc., up to LOT5.</t>
        </is>
      </c>
      <c r="F2" s="7" t="inlineStr">
        <is>
          <t>n/a</t>
        </is>
      </c>
      <c r="G2" s="7" t="inlineStr">
        <is>
          <t>Derived sequentially. LOT_(N+1)_START_DT must be &gt; LOT_N_BASE_END_DT.</t>
        </is>
      </c>
      <c r="H2" s="7" t="inlineStr"/>
    </row>
    <row r="3">
      <c r="A3" s="7" t="inlineStr">
        <is>
          <t>FU_PD</t>
        </is>
      </c>
      <c r="B3" s="7" t="inlineStr">
        <is>
          <t>LOTN_START_DT</t>
        </is>
      </c>
      <c r="C3" s="7" t="inlineStr">
        <is>
          <t>LOT N start date (N in 2..5)</t>
        </is>
      </c>
      <c r="D3" s="7" t="inlineStr">
        <is>
          <t>Date</t>
        </is>
      </c>
      <c r="E3" s="7" t="inlineStr">
        <is>
          <t>Earliest of, after LOT_(N-1)_BASE_END_DT: (a) first non-steroid MM oncology agent; (b) first ALLO SCT; (c) first CAR-T infusion; (d) first UNPLANNED AUTO SCT (&gt;180d after a prior AUTO). Planned/single/tandem AUTO is a continuation, not a trigger. Permissible biosimilar substitutions do not trigger.</t>
        </is>
      </c>
      <c r="F3" s="7" t="inlineStr">
        <is>
          <t>CL_MMA_CODELIST, CL_SCT_CODELIST, CL_MMA_ROLLUP</t>
        </is>
      </c>
      <c r="G3" s="7" t="inlineStr">
        <is>
          <t>Source: T_MEDICAL (PROC_CD, BILL_PROC_CD, NDC), T_RX (NDC). Steroids excluded (MAP_MED_CLASS != 'STEROID').</t>
        </is>
      </c>
      <c r="H3" s="7" t="inlineStr"/>
    </row>
    <row r="4">
      <c r="A4" s="7" t="inlineStr">
        <is>
          <t>FU_PD</t>
        </is>
      </c>
      <c r="B4" s="7" t="inlineStr">
        <is>
          <t>LOTN_START_TYPE</t>
        </is>
      </c>
      <c r="C4" s="7" t="inlineStr">
        <is>
          <t>Trigger that started LOT N</t>
        </is>
      </c>
      <c r="D4" s="7" t="inlineStr">
        <is>
          <t>MED / SCT_AUTO / SCT_ALLO / CART</t>
        </is>
      </c>
      <c r="E4" s="7" t="inlineStr">
        <is>
          <t>Type of the earliest qualifying trigger.</t>
        </is>
      </c>
      <c r="F4" s="7" t="inlineStr">
        <is>
          <t>n/a</t>
        </is>
      </c>
      <c r="G4" s="7" t="inlineStr">
        <is>
          <t>Same-day tie-break (DRAFT, inherits LOT1 - confirm): SCT_ALLO &gt; CART &gt; SCT_AUTO &gt; MED.</t>
        </is>
      </c>
      <c r="H4" s="7" t="inlineStr"/>
    </row>
    <row r="5">
      <c r="A5" s="7" t="inlineStr">
        <is>
          <t>FU_PD</t>
        </is>
      </c>
      <c r="B5" s="7" t="inlineStr">
        <is>
          <t>INDUCTION_WINDOW_DAYS</t>
        </is>
      </c>
      <c r="C5" s="7" t="inlineStr">
        <is>
          <t>Induction window</t>
        </is>
      </c>
      <c r="D5" s="7" t="inlineStr">
        <is>
          <t>30</t>
        </is>
      </c>
      <c r="E5" s="7" t="inlineStr">
        <is>
          <t>Window for identifying LOT N regimen. (LOT1 uses 60.)</t>
        </is>
      </c>
      <c r="F5" s="7" t="inlineStr">
        <is>
          <t>n/a</t>
        </is>
      </c>
      <c r="G5" s="7" t="inlineStr">
        <is>
          <t>MAP_START_DT in [LOTN_START_DT, LOTN_START_DT + 29] = induction.</t>
        </is>
      </c>
      <c r="H5" s="7" t="inlineStr"/>
    </row>
    <row r="6">
      <c r="A6" s="7" t="inlineStr">
        <is>
          <t>FU_PD</t>
        </is>
      </c>
      <c r="B6" s="7" t="inlineStr">
        <is>
          <t>LOTN_BASE_MEDS</t>
        </is>
      </c>
      <c r="C6" s="7" t="inlineStr">
        <is>
          <t>LOT N induction medications</t>
        </is>
      </c>
      <c r="D6" s="7" t="inlineStr">
        <is>
          <t>Comma list of MED_ABBR</t>
        </is>
      </c>
      <c r="E6" s="7" t="inlineStr">
        <is>
          <t>Non-steroid MM oncology agents within the 30-day induction window. Permissible biosimilar substitutions do not advance the regimen.</t>
        </is>
      </c>
      <c r="F6" s="7" t="inlineStr">
        <is>
          <t>CL_MMA_CODELIST, CL_MMA_ROLLUP</t>
        </is>
      </c>
      <c r="G6" s="7" t="inlineStr">
        <is>
          <t>Filter MAP_MED_CLASS != 'STEROID'.</t>
        </is>
      </c>
      <c r="H6" s="7" t="inlineStr"/>
    </row>
    <row r="7">
      <c r="A7" s="7" t="inlineStr">
        <is>
          <t>FU_PD</t>
        </is>
      </c>
      <c r="B7" s="7" t="inlineStr">
        <is>
          <t>LOTN_MED_CNT</t>
        </is>
      </c>
      <c r="C7" s="7" t="inlineStr">
        <is>
          <t>Distinct induction agents</t>
        </is>
      </c>
      <c r="D7" s="7" t="inlineStr">
        <is>
          <t>Integer</t>
        </is>
      </c>
      <c r="E7" s="7" t="inlineStr">
        <is>
          <t>Count of distinct MED_ABBR in LOTN_BASE_MEDS.</t>
        </is>
      </c>
      <c r="F7" s="7" t="inlineStr">
        <is>
          <t>n/a</t>
        </is>
      </c>
      <c r="G7" s="7" t="inlineStr"/>
      <c r="H7" s="7" t="inlineStr"/>
    </row>
    <row r="8">
      <c r="A8" s="7" t="inlineStr">
        <is>
          <t>FU_PD</t>
        </is>
      </c>
      <c r="B8" s="7" t="inlineStr">
        <is>
          <t>LOTN_MED_[MED]</t>
        </is>
      </c>
      <c r="C8" s="7" t="inlineStr">
        <is>
          <t>Per-medication induction flags</t>
        </is>
      </c>
      <c r="D8" s="7" t="inlineStr">
        <is>
          <t>0 / 1</t>
        </is>
      </c>
      <c r="E8" s="7" t="inlineStr">
        <is>
          <t>One flag column per non-steroid MED_ABBR in CL_MMA_ROLLUP (e.g. LOTN_MED_BORT, LOTN_MED_LENA, LOTN_MED_DARA, ...). = 1 if that medication is in LOTN_BASE_MEDS.</t>
        </is>
      </c>
      <c r="F8" s="7" t="inlineStr">
        <is>
          <t>CL_MMA_ROLLUP</t>
        </is>
      </c>
      <c r="G8" s="7" t="inlineStr">
        <is>
          <t>Mirror LOT1 dynamic flag generation; steroid abbreviations excluded.</t>
        </is>
      </c>
      <c r="H8" s="7" t="inlineStr"/>
    </row>
    <row r="9">
      <c r="A9" s="7" t="inlineStr">
        <is>
          <t>FU_PD</t>
        </is>
      </c>
      <c r="B9" s="7" t="inlineStr">
        <is>
          <t>LOTN_CLASS_[CLASS]</t>
        </is>
      </c>
      <c r="C9" s="7" t="inlineStr">
        <is>
          <t>Per-class induction flags</t>
        </is>
      </c>
      <c r="D9" s="7" t="inlineStr">
        <is>
          <t>0 / 1</t>
        </is>
      </c>
      <c r="E9" s="7" t="inlineStr">
        <is>
          <t>One flag column per non-steroid MED_CLASS in CL_MMA_ROLLUP (e.g. LOTN_CLASS_PROTINHIB, LOTN_CLASS_IMMUNOMOD, ...). = 1 if any LOTN_BASE_MEDS agent has that class.</t>
        </is>
      </c>
      <c r="F9" s="7" t="inlineStr">
        <is>
          <t>CL_MMA_ROLLUP</t>
        </is>
      </c>
      <c r="G9" s="7" t="inlineStr">
        <is>
          <t>Mirror LOT1 dynamic class flag generation.</t>
        </is>
      </c>
      <c r="H9" s="7" t="inlineStr"/>
    </row>
    <row r="10">
      <c r="A10" s="7" t="inlineStr">
        <is>
          <t>FU_PD</t>
        </is>
      </c>
      <c r="B10" s="7" t="inlineStr">
        <is>
          <t>LOTN_TX_AUTO_FLG</t>
        </is>
      </c>
      <c r="C10" s="7" t="inlineStr">
        <is>
          <t>Any valid AUTO SCT during LOT N</t>
        </is>
      </c>
      <c r="D10" s="7" t="inlineStr">
        <is>
          <t>0/1</t>
        </is>
      </c>
      <c r="E10" s="7" t="inlineStr">
        <is>
          <t>Patient had &gt;=1 valid AUTO during LOT N.</t>
        </is>
      </c>
      <c r="F10" s="7" t="inlineStr">
        <is>
          <t>CL_SCT_CODELIST (AUTO)</t>
        </is>
      </c>
      <c r="G10" s="7" t="inlineStr">
        <is>
          <t>Inherit LOT1 SCT logic: 14-day windowing, 60-day gap validation.</t>
        </is>
      </c>
      <c r="H10" s="7" t="inlineStr"/>
    </row>
    <row r="11">
      <c r="A11" s="7" t="inlineStr">
        <is>
          <t>FU_PD</t>
        </is>
      </c>
      <c r="B11" s="7" t="inlineStr">
        <is>
          <t>LOTN_TX_AUTO_SING_FLG</t>
        </is>
      </c>
      <c r="C11" s="7" t="inlineStr">
        <is>
          <t>Single (non-tandem) AUTO during LOT N</t>
        </is>
      </c>
      <c r="D11" s="7" t="inlineStr">
        <is>
          <t>0/1</t>
        </is>
      </c>
      <c r="E11" s="7" t="inlineStr">
        <is>
          <t>AUTO not part of a valid tandem pair.</t>
        </is>
      </c>
      <c r="F11" s="7" t="inlineStr">
        <is>
          <t>CL_SCT_CODELIST</t>
        </is>
      </c>
      <c r="G11" s="7" t="inlineStr"/>
      <c r="H11" s="7" t="inlineStr"/>
    </row>
    <row r="12">
      <c r="A12" s="7" t="inlineStr">
        <is>
          <t>FU_PD</t>
        </is>
      </c>
      <c r="B12" s="7" t="inlineStr">
        <is>
          <t>LOTN_TX_AUTO_TAND_FLG</t>
        </is>
      </c>
      <c r="C12" s="7" t="inlineStr">
        <is>
          <t>Planned tandem AUTO during LOT N</t>
        </is>
      </c>
      <c r="D12" s="7" t="inlineStr">
        <is>
          <t>0/1</t>
        </is>
      </c>
      <c r="E12" s="7" t="inlineStr">
        <is>
          <t>Two AUTOs &gt;=60 and &lt;=180 days apart.</t>
        </is>
      </c>
      <c r="F12" s="7" t="inlineStr">
        <is>
          <t>CL_SCT_CODELIST</t>
        </is>
      </c>
      <c r="G12" s="7" t="inlineStr">
        <is>
          <t>Use datediff without +1 (per Apr 22).</t>
        </is>
      </c>
      <c r="H12" s="7" t="inlineStr"/>
    </row>
    <row r="13">
      <c r="A13" s="7" t="inlineStr">
        <is>
          <t>FU_PD</t>
        </is>
      </c>
      <c r="B13" s="7" t="inlineStr">
        <is>
          <t>LOTN_TX_AUTO_DT_1 / LOTN_TX_AUTO_DT_2</t>
        </is>
      </c>
      <c r="C13" s="7" t="inlineStr">
        <is>
          <t>First / second valid AUTO date in LOT N</t>
        </is>
      </c>
      <c r="D13" s="7" t="inlineStr">
        <is>
          <t>Date / Date</t>
        </is>
      </c>
      <c r="E13" s="7" t="inlineStr">
        <is>
          <t>DT_2 populated only if planned tandem.</t>
        </is>
      </c>
      <c r="F13" s="7" t="inlineStr">
        <is>
          <t>CL_SCT_CODELIST</t>
        </is>
      </c>
      <c r="G13" s="7" t="inlineStr"/>
      <c r="H13" s="7" t="inlineStr"/>
    </row>
    <row r="14">
      <c r="A14" s="7" t="inlineStr">
        <is>
          <t>FU_PD</t>
        </is>
      </c>
      <c r="B14" s="7" t="inlineStr">
        <is>
          <t>LOTN_TX_AUTO_MAX_DT</t>
        </is>
      </c>
      <c r="C14" s="7" t="inlineStr">
        <is>
          <t>Latest valid AUTO in LOT N</t>
        </is>
      </c>
      <c r="D14" s="7" t="inlineStr">
        <is>
          <t>Date</t>
        </is>
      </c>
      <c r="E14" s="7" t="inlineStr">
        <is>
          <t>AUTO_DT_2 if tandem else AUTO_DT_1 else NULL.</t>
        </is>
      </c>
      <c r="F14" s="7" t="inlineStr">
        <is>
          <t>CL_SCT_CODELIST</t>
        </is>
      </c>
      <c r="G14" s="7" t="inlineStr"/>
      <c r="H14" s="7" t="inlineStr"/>
    </row>
    <row r="15">
      <c r="A15" s="7" t="inlineStr">
        <is>
          <t>FU_PD</t>
        </is>
      </c>
      <c r="B15" s="7" t="inlineStr">
        <is>
          <t>contains_mtx_reg_LOTN</t>
        </is>
      </c>
      <c r="C15" s="7" t="inlineStr">
        <is>
          <t>LOT N regimen contains valid maintenance subset</t>
        </is>
      </c>
      <c r="D15" s="7" t="inlineStr">
        <is>
          <t>0/1</t>
        </is>
      </c>
      <c r="E15" s="7">
        <f> 1 when LOT N induction has BOTH (a) &gt;=1 valid mono-maintenance agent OR a valid dual combo, AND (b) a non-maintenance anchor. Mono: LENA, BORT, DARA, IXAZ, THAL. Dual: BORT+LENA, CARF+LENA, DARA+LENA.</f>
        <v/>
      </c>
      <c r="F15" s="7" t="inlineStr">
        <is>
          <t>CL_MMA_ROLLUP</t>
        </is>
      </c>
      <c r="G15" s="7" t="inlineStr">
        <is>
          <t>Descriptive flag; no standalone maintenance LOT.</t>
        </is>
      </c>
      <c r="H15" s="7" t="inlineStr"/>
    </row>
    <row r="16">
      <c r="A16" s="7" t="inlineStr">
        <is>
          <t>FU_PD</t>
        </is>
      </c>
      <c r="B16" s="7" t="inlineStr">
        <is>
          <t>LOTN_ALLO_LOT_FLG</t>
        </is>
      </c>
      <c r="C16" s="7" t="inlineStr">
        <is>
          <t>LOT N is an ALLO SCT line</t>
        </is>
      </c>
      <c r="D16" s="7" t="inlineStr">
        <is>
          <t>0/1</t>
        </is>
      </c>
      <c r="E16" s="7">
        <f> 1 when LOTN_START_TYPE = SCT_ALLO. ALLO LOT contains no MM therapies. Span: see Q2 (draft = single day).</f>
        <v/>
      </c>
      <c r="F16" s="7" t="inlineStr">
        <is>
          <t>CL_SCT_CODELIST (ALLO)</t>
        </is>
      </c>
      <c r="G16" s="7" t="inlineStr"/>
      <c r="H16" s="7" t="inlineStr"/>
    </row>
    <row r="17">
      <c r="A17" s="7" t="inlineStr">
        <is>
          <t>FU_PD</t>
        </is>
      </c>
      <c r="B17" s="7" t="inlineStr">
        <is>
          <t>LOTN_CART_LOT_FLG</t>
        </is>
      </c>
      <c r="C17" s="7" t="inlineStr">
        <is>
          <t>LOT N is a CAR-T line</t>
        </is>
      </c>
      <c r="D17" s="7" t="inlineStr">
        <is>
          <t>0/1</t>
        </is>
      </c>
      <c r="E17" s="7">
        <f> 1 when LOTN_START_TYPE = CART. Agents within 45d of FIRST_CART_DT are consolidated into LOT N (Apr 22 decision; see Q11).</f>
        <v/>
      </c>
      <c r="F17" s="7" t="inlineStr">
        <is>
          <t>CL_SCT_CODELIST (CART)</t>
        </is>
      </c>
      <c r="G17" s="7" t="inlineStr">
        <is>
          <t>Do NOT advance to LOT_(N+1) for consolidated agents.</t>
        </is>
      </c>
      <c r="H17" s="7" t="inlineStr"/>
    </row>
    <row r="20" ht="22" customHeight="1">
      <c r="A20" s="8" t="inlineStr">
        <is>
          <t>WORKED EXAMPLE A - LOT2 starts on a new medication</t>
        </is>
      </c>
    </row>
    <row r="21" ht="60" customHeight="1">
      <c r="A21" s="9" t="inlineStr">
        <is>
          <t>VRd in LOT1; DARA added 2025-08-20 (LOT1 ends 2025-08-19, MED_ADD). LENA refills present within 30d. No SCT/CAR-T.</t>
        </is>
      </c>
      <c r="B21" s="10" t="n"/>
      <c r="C21" s="10" t="n"/>
      <c r="D21" s="10" t="n"/>
      <c r="E21" s="10" t="n"/>
      <c r="F21" s="10" t="n"/>
      <c r="G21" s="10" t="n"/>
      <c r="H21" s="11" t="n"/>
    </row>
    <row r="22">
      <c r="A22" s="12" t="inlineStr">
        <is>
          <t>Variable</t>
        </is>
      </c>
      <c r="B22" s="12" t="inlineStr">
        <is>
          <t>Value for this patient</t>
        </is>
      </c>
      <c r="C22" s="12" t="inlineStr">
        <is>
          <t>How it was derived</t>
        </is>
      </c>
      <c r="D22" s="12" t="n"/>
      <c r="E22" s="12" t="n"/>
      <c r="F22" s="12" t="n"/>
      <c r="G22" s="12" t="n"/>
      <c r="H22" s="12" t="n"/>
    </row>
    <row r="23">
      <c r="A23" s="13" t="inlineStr">
        <is>
          <t>LOT_NUM</t>
        </is>
      </c>
      <c r="B23" s="9" t="inlineStr">
        <is>
          <t>2</t>
        </is>
      </c>
      <c r="C23" s="9" t="inlineStr"/>
      <c r="D23" s="9" t="n"/>
      <c r="E23" s="9" t="n"/>
      <c r="F23" s="9" t="n"/>
      <c r="G23" s="9" t="n"/>
      <c r="H23" s="9" t="n"/>
    </row>
    <row r="24">
      <c r="A24" s="13" t="inlineStr">
        <is>
          <t>LOTN_START_DT</t>
        </is>
      </c>
      <c r="B24" s="9" t="inlineStr">
        <is>
          <t>2025-08-20</t>
        </is>
      </c>
      <c r="C24" s="9" t="inlineStr">
        <is>
          <t>Earliest trigger after LOT1_BASE_END_DT (2025-08-19) = DARA.</t>
        </is>
      </c>
      <c r="D24" s="9" t="n"/>
      <c r="E24" s="9" t="n"/>
      <c r="F24" s="9" t="n"/>
      <c r="G24" s="9" t="n"/>
      <c r="H24" s="9" t="n"/>
    </row>
    <row r="25">
      <c r="A25" s="13" t="inlineStr">
        <is>
          <t>LOTN_START_TYPE</t>
        </is>
      </c>
      <c r="B25" s="9" t="inlineStr">
        <is>
          <t>MED</t>
        </is>
      </c>
      <c r="C25" s="9" t="inlineStr"/>
      <c r="D25" s="9" t="n"/>
      <c r="E25" s="9" t="n"/>
      <c r="F25" s="9" t="n"/>
      <c r="G25" s="9" t="n"/>
      <c r="H25" s="9" t="n"/>
    </row>
    <row r="26">
      <c r="A26" s="13" t="inlineStr">
        <is>
          <t>LOTN_BASE_MEDS</t>
        </is>
      </c>
      <c r="B26" s="9" t="inlineStr">
        <is>
          <t>DARA, LENA</t>
        </is>
      </c>
      <c r="C26" s="9" t="inlineStr">
        <is>
          <t>Window [2025-08-20, 2025-09-18]. DEXA excluded (steroid).</t>
        </is>
      </c>
      <c r="D26" s="9" t="n"/>
      <c r="E26" s="9" t="n"/>
      <c r="F26" s="9" t="n"/>
      <c r="G26" s="9" t="n"/>
      <c r="H26" s="9" t="n"/>
    </row>
    <row r="27">
      <c r="A27" s="13" t="inlineStr">
        <is>
          <t>LOTN_MED_CNT</t>
        </is>
      </c>
      <c r="B27" s="9" t="inlineStr">
        <is>
          <t>2</t>
        </is>
      </c>
      <c r="C27" s="9" t="inlineStr"/>
      <c r="D27" s="9" t="n"/>
      <c r="E27" s="9" t="n"/>
      <c r="F27" s="9" t="n"/>
      <c r="G27" s="9" t="n"/>
      <c r="H27" s="9" t="n"/>
    </row>
    <row r="28">
      <c r="A28" s="13" t="inlineStr">
        <is>
          <t>LOTN_MED_DARA</t>
        </is>
      </c>
      <c r="B28" s="9" t="inlineStr">
        <is>
          <t>1</t>
        </is>
      </c>
      <c r="C28" s="9" t="inlineStr"/>
      <c r="D28" s="9" t="n"/>
      <c r="E28" s="9" t="n"/>
      <c r="F28" s="9" t="n"/>
      <c r="G28" s="9" t="n"/>
      <c r="H28" s="9" t="n"/>
    </row>
    <row r="29">
      <c r="A29" s="13" t="inlineStr">
        <is>
          <t>LOTN_MED_LENA</t>
        </is>
      </c>
      <c r="B29" s="9" t="inlineStr">
        <is>
          <t>1</t>
        </is>
      </c>
      <c r="C29" s="9" t="inlineStr"/>
      <c r="D29" s="9" t="n"/>
      <c r="E29" s="9" t="n"/>
      <c r="F29" s="9" t="n"/>
      <c r="G29" s="9" t="n"/>
      <c r="H29" s="9" t="n"/>
    </row>
    <row r="30">
      <c r="A30" s="13" t="inlineStr">
        <is>
          <t>LOTN_CLASS_ANTICD38</t>
        </is>
      </c>
      <c r="B30" s="9" t="inlineStr">
        <is>
          <t>1</t>
        </is>
      </c>
      <c r="C30" s="9" t="inlineStr">
        <is>
          <t>DARA.</t>
        </is>
      </c>
      <c r="D30" s="9" t="n"/>
      <c r="E30" s="9" t="n"/>
      <c r="F30" s="9" t="n"/>
      <c r="G30" s="9" t="n"/>
      <c r="H30" s="9" t="n"/>
    </row>
    <row r="31">
      <c r="A31" s="13" t="inlineStr">
        <is>
          <t>LOTN_CLASS_IMMUNOMOD</t>
        </is>
      </c>
      <c r="B31" s="9" t="inlineStr">
        <is>
          <t>1</t>
        </is>
      </c>
      <c r="C31" s="9" t="inlineStr">
        <is>
          <t>LENA.</t>
        </is>
      </c>
      <c r="D31" s="9" t="n"/>
      <c r="E31" s="9" t="n"/>
      <c r="F31" s="9" t="n"/>
      <c r="G31" s="9" t="n"/>
      <c r="H31" s="9" t="n"/>
    </row>
    <row r="32">
      <c r="A32" s="13" t="inlineStr">
        <is>
          <t>contains_mtx_reg_LOTN</t>
        </is>
      </c>
      <c r="B32" s="9" t="inlineStr">
        <is>
          <t>0</t>
        </is>
      </c>
      <c r="C32" s="9" t="inlineStr">
        <is>
          <t>BOTH DARA and LENA are valid mono-maintenance agents - no non-maintenance anchor.</t>
        </is>
      </c>
      <c r="D32" s="9" t="n"/>
      <c r="E32" s="9" t="n"/>
      <c r="F32" s="9" t="n"/>
      <c r="G32" s="9" t="n"/>
      <c r="H32" s="9" t="n"/>
    </row>
    <row r="33">
      <c r="A33" s="13" t="inlineStr">
        <is>
          <t>LOTN_ALLO_LOT_FLG / LOTN_CART_LOT_FLG</t>
        </is>
      </c>
      <c r="B33" s="9" t="inlineStr">
        <is>
          <t>0 / 0</t>
        </is>
      </c>
      <c r="C33" s="9" t="inlineStr"/>
      <c r="D33" s="9" t="n"/>
      <c r="E33" s="9" t="n"/>
      <c r="F33" s="9" t="n"/>
      <c r="G33" s="9" t="n"/>
      <c r="H33" s="9" t="n"/>
    </row>
    <row r="36" ht="22" customHeight="1">
      <c r="A36" s="8" t="inlineStr">
        <is>
          <t>WORKED EXAMPLE B - LOT2 starts on an allogeneic SCT</t>
        </is>
      </c>
    </row>
    <row r="37" ht="60" customHeight="1">
      <c r="A37" s="9" t="inlineStr">
        <is>
          <t>VRd in LOT1; ALLO on 2025-09-15 (LOT1 ends 2025-09-14). Next MM therapy DARA on 2025-12-10 starts LOT3.</t>
        </is>
      </c>
      <c r="B37" s="10" t="n"/>
      <c r="C37" s="10" t="n"/>
      <c r="D37" s="10" t="n"/>
      <c r="E37" s="10" t="n"/>
      <c r="F37" s="10" t="n"/>
      <c r="G37" s="10" t="n"/>
      <c r="H37" s="11" t="n"/>
    </row>
    <row r="38">
      <c r="A38" s="12" t="inlineStr">
        <is>
          <t>Variable</t>
        </is>
      </c>
      <c r="B38" s="12" t="inlineStr">
        <is>
          <t>Value for this patient</t>
        </is>
      </c>
      <c r="C38" s="12" t="inlineStr">
        <is>
          <t>How it was derived</t>
        </is>
      </c>
      <c r="D38" s="12" t="n"/>
      <c r="E38" s="12" t="n"/>
      <c r="F38" s="12" t="n"/>
      <c r="G38" s="12" t="n"/>
      <c r="H38" s="12" t="n"/>
    </row>
    <row r="39">
      <c r="A39" s="13" t="inlineStr">
        <is>
          <t>LOT_NUM</t>
        </is>
      </c>
      <c r="B39" s="9" t="inlineStr">
        <is>
          <t>2</t>
        </is>
      </c>
      <c r="C39" s="9" t="inlineStr"/>
      <c r="D39" s="9" t="n"/>
      <c r="E39" s="9" t="n"/>
      <c r="F39" s="9" t="n"/>
      <c r="G39" s="9" t="n"/>
      <c r="H39" s="9" t="n"/>
    </row>
    <row r="40">
      <c r="A40" s="13" t="inlineStr">
        <is>
          <t>LOTN_START_DT</t>
        </is>
      </c>
      <c r="B40" s="9" t="inlineStr">
        <is>
          <t>2025-09-15</t>
        </is>
      </c>
      <c r="C40" s="9" t="inlineStr">
        <is>
          <t>ALLO_DT (always starts a new LOT).</t>
        </is>
      </c>
      <c r="D40" s="9" t="n"/>
      <c r="E40" s="9" t="n"/>
      <c r="F40" s="9" t="n"/>
      <c r="G40" s="9" t="n"/>
      <c r="H40" s="9" t="n"/>
    </row>
    <row r="41">
      <c r="A41" s="13" t="inlineStr">
        <is>
          <t>LOTN_START_TYPE</t>
        </is>
      </c>
      <c r="B41" s="9" t="inlineStr">
        <is>
          <t>SCT_ALLO</t>
        </is>
      </c>
      <c r="C41" s="9" t="inlineStr"/>
      <c r="D41" s="9" t="n"/>
      <c r="E41" s="9" t="n"/>
      <c r="F41" s="9" t="n"/>
      <c r="G41" s="9" t="n"/>
      <c r="H41" s="9" t="n"/>
    </row>
    <row r="42">
      <c r="A42" s="13" t="inlineStr">
        <is>
          <t>LOTN_BASE_MEDS</t>
        </is>
      </c>
      <c r="B42" s="9" t="inlineStr">
        <is>
          <t>(empty)</t>
        </is>
      </c>
      <c r="C42" s="9" t="inlineStr">
        <is>
          <t>ALLO LOT contains NO MM therapies.</t>
        </is>
      </c>
      <c r="D42" s="9" t="n"/>
      <c r="E42" s="9" t="n"/>
      <c r="F42" s="9" t="n"/>
      <c r="G42" s="9" t="n"/>
      <c r="H42" s="9" t="n"/>
    </row>
    <row r="43">
      <c r="A43" s="13" t="inlineStr">
        <is>
          <t>LOTN_MED_CNT</t>
        </is>
      </c>
      <c r="B43" s="9" t="inlineStr">
        <is>
          <t>0</t>
        </is>
      </c>
      <c r="C43" s="9" t="inlineStr"/>
      <c r="D43" s="9" t="n"/>
      <c r="E43" s="9" t="n"/>
      <c r="F43" s="9" t="n"/>
      <c r="G43" s="9" t="n"/>
      <c r="H43" s="9" t="n"/>
    </row>
    <row r="44">
      <c r="A44" s="13" t="inlineStr">
        <is>
          <t>LOTN_ALLO_LOT_FLG</t>
        </is>
      </c>
      <c r="B44" s="9" t="inlineStr">
        <is>
          <t>1</t>
        </is>
      </c>
      <c r="C44" s="9" t="inlineStr"/>
      <c r="D44" s="9" t="n"/>
      <c r="E44" s="9" t="n"/>
      <c r="F44" s="9" t="n"/>
      <c r="G44" s="9" t="n"/>
      <c r="H44" s="9" t="n"/>
    </row>
    <row r="45">
      <c r="A45" s="13" t="inlineStr">
        <is>
          <t>LOTN_BASE_END_DT</t>
        </is>
      </c>
      <c r="B45" s="9" t="inlineStr">
        <is>
          <t>PENDING Q2</t>
        </is>
      </c>
      <c r="C45" s="9" t="inlineStr">
        <is>
          <t>Q2 draft (single-day): 2025-09-15. Alternative (extend to next agent): 2025-12-09.</t>
        </is>
      </c>
      <c r="D45" s="9" t="n"/>
      <c r="E45" s="9" t="n"/>
      <c r="F45" s="9" t="n"/>
      <c r="G45" s="9" t="n"/>
      <c r="H45" s="9" t="n"/>
    </row>
    <row r="46">
      <c r="A46" s="13" t="inlineStr">
        <is>
          <t>LOTN_BASE_END_REASON</t>
        </is>
      </c>
      <c r="B46" s="9" t="inlineStr">
        <is>
          <t>PENDING Q2</t>
        </is>
      </c>
      <c r="C46" s="9" t="inlineStr">
        <is>
          <t>Q2 draft (single-day): SCT_ALLO. Alternative (extend to next agent): MED_ADD.</t>
        </is>
      </c>
      <c r="D46" s="9" t="n"/>
      <c r="E46" s="9" t="n"/>
      <c r="F46" s="9" t="n"/>
      <c r="G46" s="9" t="n"/>
      <c r="H46" s="9" t="n"/>
    </row>
    <row r="47">
      <c r="A47" s="13" t="inlineStr">
        <is>
          <t>LOT3_START_DT</t>
        </is>
      </c>
      <c r="B47" s="9" t="inlineStr">
        <is>
          <t>2025-12-10</t>
        </is>
      </c>
      <c r="C47" s="9" t="inlineStr">
        <is>
          <t>DARA - first MM agent after LOT2.</t>
        </is>
      </c>
      <c r="D47" s="9" t="n"/>
      <c r="E47" s="9" t="n"/>
      <c r="F47" s="9" t="n"/>
      <c r="G47" s="9" t="n"/>
      <c r="H47" s="9" t="n"/>
    </row>
    <row r="50" ht="22" customHeight="1">
      <c r="A50" s="8" t="inlineStr">
        <is>
          <t>WORKED EXAMPLE C - LOT2 starts on an unplanned autologous SCT</t>
        </is>
      </c>
    </row>
    <row r="51" ht="60" customHeight="1">
      <c r="A51" s="9" t="inlineStr">
        <is>
          <t>Single AUTO 2025-03-01 in LOT1; second AUTO 2025-10-15 (228d later, unplanned). LOT1 ends 2025-10-14; LOT2 starts on AUTO.</t>
        </is>
      </c>
      <c r="B51" s="10" t="n"/>
      <c r="C51" s="10" t="n"/>
      <c r="D51" s="10" t="n"/>
      <c r="E51" s="10" t="n"/>
      <c r="F51" s="10" t="n"/>
      <c r="G51" s="10" t="n"/>
      <c r="H51" s="11" t="n"/>
    </row>
    <row r="52">
      <c r="A52" s="12" t="inlineStr">
        <is>
          <t>Variable</t>
        </is>
      </c>
      <c r="B52" s="12" t="inlineStr">
        <is>
          <t>Value for this patient</t>
        </is>
      </c>
      <c r="C52" s="12" t="inlineStr">
        <is>
          <t>How it was derived</t>
        </is>
      </c>
      <c r="D52" s="12" t="n"/>
      <c r="E52" s="12" t="n"/>
      <c r="F52" s="12" t="n"/>
      <c r="G52" s="12" t="n"/>
      <c r="H52" s="12" t="n"/>
    </row>
    <row r="53">
      <c r="A53" s="13" t="inlineStr">
        <is>
          <t>LOT_NUM</t>
        </is>
      </c>
      <c r="B53" s="9" t="inlineStr">
        <is>
          <t>2</t>
        </is>
      </c>
      <c r="C53" s="9" t="inlineStr"/>
      <c r="D53" s="9" t="n"/>
      <c r="E53" s="9" t="n"/>
      <c r="F53" s="9" t="n"/>
      <c r="G53" s="9" t="n"/>
      <c r="H53" s="9" t="n"/>
    </row>
    <row r="54">
      <c r="A54" s="13" t="inlineStr">
        <is>
          <t>LOTN_START_DT</t>
        </is>
      </c>
      <c r="B54" s="9" t="inlineStr">
        <is>
          <t>2025-10-15</t>
        </is>
      </c>
      <c r="C54" s="9" t="inlineStr">
        <is>
          <t>Unplanned AUTO date (&gt;180d after prior AUTO).</t>
        </is>
      </c>
      <c r="D54" s="9" t="n"/>
      <c r="E54" s="9" t="n"/>
      <c r="F54" s="9" t="n"/>
      <c r="G54" s="9" t="n"/>
      <c r="H54" s="9" t="n"/>
    </row>
    <row r="55">
      <c r="A55" s="13" t="inlineStr">
        <is>
          <t>LOTN_START_TYPE</t>
        </is>
      </c>
      <c r="B55" s="9" t="inlineStr">
        <is>
          <t>SCT_AUTO</t>
        </is>
      </c>
      <c r="C55" s="9" t="inlineStr">
        <is>
          <t>Unplanned AUTO is a first-class LOT-start trigger. (Planned tandem 60-180d would NOT start a new LOT.)</t>
        </is>
      </c>
      <c r="D55" s="9" t="n"/>
      <c r="E55" s="9" t="n"/>
      <c r="F55" s="9" t="n"/>
      <c r="G55" s="9" t="n"/>
      <c r="H55" s="9" t="n"/>
    </row>
    <row r="56">
      <c r="A56" s="13" t="inlineStr">
        <is>
          <t>INDUCTION_WINDOW_DAYS</t>
        </is>
      </c>
      <c r="B56" s="9" t="inlineStr">
        <is>
          <t>30</t>
        </is>
      </c>
      <c r="C56" s="9" t="inlineStr">
        <is>
          <t>LOT2 captures any post-AUTO agents within [2025-10-15, 2025-11-13].</t>
        </is>
      </c>
      <c r="D56" s="9" t="n"/>
      <c r="E56" s="9" t="n"/>
      <c r="F56" s="9" t="n"/>
      <c r="G56" s="9" t="n"/>
      <c r="H56" s="9" t="n"/>
    </row>
    <row r="57">
      <c r="A57" s="13" t="inlineStr">
        <is>
          <t>LOTN_TX_AUTO_FLG</t>
        </is>
      </c>
      <c r="B57" s="9" t="inlineStr">
        <is>
          <t>1</t>
        </is>
      </c>
      <c r="C57" s="9" t="inlineStr">
        <is>
          <t>AUTO occurred during LOT2.</t>
        </is>
      </c>
      <c r="D57" s="9" t="n"/>
      <c r="E57" s="9" t="n"/>
      <c r="F57" s="9" t="n"/>
      <c r="G57" s="9" t="n"/>
      <c r="H57" s="9" t="n"/>
    </row>
    <row r="58">
      <c r="A58" s="13" t="inlineStr">
        <is>
          <t>LOTN_TX_AUTO_SING_FLG</t>
        </is>
      </c>
      <c r="B58" s="9" t="inlineStr">
        <is>
          <t>1</t>
        </is>
      </c>
      <c r="C58" s="9" t="inlineStr">
        <is>
          <t>Single AUTO during LOT2 (no second AUTO within tandem window).</t>
        </is>
      </c>
      <c r="D58" s="9" t="n"/>
      <c r="E58" s="9" t="n"/>
      <c r="F58" s="9" t="n"/>
      <c r="G58" s="9" t="n"/>
      <c r="H58" s="9" t="n"/>
    </row>
    <row r="59">
      <c r="A59" s="13" t="inlineStr">
        <is>
          <t>LOTN_TX_AUTO_TAND_FLG</t>
        </is>
      </c>
      <c r="B59" s="9" t="inlineStr">
        <is>
          <t>0</t>
        </is>
      </c>
      <c r="C59" s="9" t="inlineStr"/>
      <c r="D59" s="9" t="n"/>
      <c r="E59" s="9" t="n"/>
      <c r="F59" s="9" t="n"/>
      <c r="G59" s="9" t="n"/>
      <c r="H59" s="9" t="n"/>
    </row>
  </sheetData>
  <mergeCells count="36">
    <mergeCell ref="C25:H25"/>
    <mergeCell ref="C41:H41"/>
    <mergeCell ref="C47:H47"/>
    <mergeCell ref="C54:H54"/>
    <mergeCell ref="C55:H55"/>
    <mergeCell ref="C44:H44"/>
    <mergeCell ref="C22:H22"/>
    <mergeCell ref="C40:H40"/>
    <mergeCell ref="A51:H51"/>
    <mergeCell ref="C31:H31"/>
    <mergeCell ref="A36:H36"/>
    <mergeCell ref="C43:H43"/>
    <mergeCell ref="C56:H56"/>
    <mergeCell ref="C59:H59"/>
    <mergeCell ref="C46:H46"/>
    <mergeCell ref="C27:H27"/>
    <mergeCell ref="C52:H52"/>
    <mergeCell ref="C23:H23"/>
    <mergeCell ref="C39:H39"/>
    <mergeCell ref="A37:H37"/>
    <mergeCell ref="A50:H50"/>
    <mergeCell ref="C32:H32"/>
    <mergeCell ref="C38:H38"/>
    <mergeCell ref="A21:H21"/>
    <mergeCell ref="C57:H57"/>
    <mergeCell ref="C28:H28"/>
    <mergeCell ref="C53:H53"/>
    <mergeCell ref="C30:H30"/>
    <mergeCell ref="C33:H33"/>
    <mergeCell ref="C24:H24"/>
    <mergeCell ref="C42:H42"/>
    <mergeCell ref="C58:H58"/>
    <mergeCell ref="A20:H20"/>
    <mergeCell ref="C45:H45"/>
    <mergeCell ref="C26:H26"/>
    <mergeCell ref="C29:H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2" customWidth="1" min="3" max="3"/>
    <col width="30" customWidth="1" min="4" max="4"/>
    <col width="80" customWidth="1" min="5" max="5"/>
    <col width="30" customWidth="1" min="6" max="6"/>
    <col width="60" customWidth="1" min="7" max="7"/>
    <col width="18" customWidth="1" min="8" max="8"/>
  </cols>
  <sheetData>
    <row r="1" ht="36" customHeight="1">
      <c r="A1" s="6" t="inlineStr">
        <is>
          <t>Time Period</t>
        </is>
      </c>
      <c r="B1" s="6" t="inlineStr">
        <is>
          <t>Variable</t>
        </is>
      </c>
      <c r="C1" s="6" t="inlineStr">
        <is>
          <t>Label</t>
        </is>
      </c>
      <c r="D1" s="6" t="inlineStr">
        <is>
          <t>Values</t>
        </is>
      </c>
      <c r="E1" s="6" t="inlineStr">
        <is>
          <t>Definition</t>
        </is>
      </c>
      <c r="F1" s="6" t="inlineStr">
        <is>
          <t>Code lists / Group</t>
        </is>
      </c>
      <c r="G1" s="6" t="inlineStr">
        <is>
          <t>Programming Notes</t>
        </is>
      </c>
      <c r="H1" s="6" t="inlineStr">
        <is>
          <t>QC Reviewed (Initials - Date)</t>
        </is>
      </c>
    </row>
    <row r="2">
      <c r="A2" s="7" t="inlineStr">
        <is>
          <t>FU_PD</t>
        </is>
      </c>
      <c r="B2" s="7" t="inlineStr">
        <is>
          <t>LOTN_END_DT_TEMP</t>
        </is>
      </c>
      <c r="C2" s="7" t="inlineStr">
        <is>
          <t>Temporary LOT N end date</t>
        </is>
      </c>
      <c r="D2" s="7" t="inlineStr">
        <is>
          <t>Date</t>
        </is>
      </c>
      <c r="E2" s="7" t="inlineStr">
        <is>
          <t>PRIMARY: earliest of (1) all-agent discontinuation (run-out date); (2) new qualifying MM agent (day before MAP_START_DT); (3) ALLO SCT (day before); (4) unplanned AUTO &gt;180d after prior AUTO (day before); (5) CAR-T (day before FIRST_CART_DT); (6) death (YMDOD); (7) study_end. Disenrollment is NOT a primary end event. SENSITIVITY: additionally cap at ENDDATE_CE when CENSOR_AT_DISENROLLMENT = TRUE.</t>
        </is>
      </c>
      <c r="F2" s="7" t="inlineStr">
        <is>
          <t>T_MEDICAL/T_RX, T_DOD, study_end; SENSITIVITY: T_MEMBER_CONT_ENROLLMENT (ELIGEND)</t>
        </is>
      </c>
      <c r="G2" s="7" t="inlineStr">
        <is>
          <t>Primary path inherits LOT1 logic; only induction window differs.</t>
        </is>
      </c>
      <c r="H2" s="7" t="inlineStr"/>
    </row>
    <row r="3">
      <c r="A3" s="7" t="inlineStr">
        <is>
          <t>FU_PD</t>
        </is>
      </c>
      <c r="B3" s="7" t="inlineStr">
        <is>
          <t>LOTN_BASE_DISCON_DT</t>
        </is>
      </c>
      <c r="C3" s="7" t="inlineStr">
        <is>
          <t>LOT N run-out date</t>
        </is>
      </c>
      <c r="D3" s="7" t="inlineStr">
        <is>
          <t>Date</t>
        </is>
      </c>
      <c r="E3" s="7" t="inlineStr">
        <is>
          <t>max(MAP_END_DT) across LOT N induction agents. Used as LOT end when reason = DISCONTINUATION.</t>
        </is>
      </c>
      <c r="F3" s="7" t="inlineStr">
        <is>
          <t>CL_MMA_CODELIST</t>
        </is>
      </c>
      <c r="G3" s="7" t="inlineStr">
        <is>
          <t>T_MEDICAL: FST_DT + medical_day_supply - 1. T_RX: FILL_DT + DAYS_SUP - 1. Missing DAY_SUPPLY -&gt; 28d default (do not delete claims).</t>
        </is>
      </c>
      <c r="H3" s="7" t="inlineStr"/>
    </row>
    <row r="4">
      <c r="A4" s="7" t="inlineStr">
        <is>
          <t>FU_PD</t>
        </is>
      </c>
      <c r="B4" s="7" t="inlineStr">
        <is>
          <t>LOTN_BASE_1ST_ADD_MED_DT / LOTN_BASE_1ST_ADD_MED</t>
        </is>
      </c>
      <c r="C4" s="7" t="inlineStr">
        <is>
          <t>First non-induction agent during LOT N</t>
        </is>
      </c>
      <c r="D4" s="7" t="inlineStr">
        <is>
          <t>Date / MED_ABBR</t>
        </is>
      </c>
      <c r="E4" s="7" t="inlineStr">
        <is>
          <t>First non-steroid MM agent after the induction window with MAP_START_DT &lt;= LOTN_BASE_DISCON_DT, not in LOTN_BASE_MEDS or its biosimilar.</t>
        </is>
      </c>
      <c r="F4" s="7" t="inlineStr">
        <is>
          <t>CL_MMA_CODELIST, permissible_subs</t>
        </is>
      </c>
      <c r="G4" s="7" t="inlineStr">
        <is>
          <t>Check permissible_subs before classifying as new add.</t>
        </is>
      </c>
      <c r="H4" s="7" t="inlineStr"/>
    </row>
    <row r="5">
      <c r="A5" s="7" t="inlineStr">
        <is>
          <t>FU_PD</t>
        </is>
      </c>
      <c r="B5" s="7" t="inlineStr">
        <is>
          <t>LOT_DISCON_GAP_DAYS</t>
        </is>
      </c>
      <c r="C5" s="7" t="inlineStr">
        <is>
          <t>Discontinuation gap (days)</t>
        </is>
      </c>
      <c r="D5" s="7" t="inlineStr">
        <is>
          <t>90</t>
        </is>
      </c>
      <c r="E5" s="7" t="inlineStr">
        <is>
          <t>Inherits LOT1.</t>
        </is>
      </c>
      <c r="F5" s="7" t="inlineStr">
        <is>
          <t>n/a</t>
        </is>
      </c>
      <c r="G5" s="7" t="inlineStr"/>
      <c r="H5" s="7" t="inlineStr"/>
    </row>
    <row r="6">
      <c r="A6" s="7" t="inlineStr">
        <is>
          <t>FU_PD</t>
        </is>
      </c>
      <c r="B6" s="7" t="inlineStr">
        <is>
          <t>MEDICAL_DAY_SUPPLY</t>
        </is>
      </c>
      <c r="C6" s="7" t="inlineStr">
        <is>
          <t>Assumed medical days supply</t>
        </is>
      </c>
      <c r="D6" s="7" t="inlineStr">
        <is>
          <t>28</t>
        </is>
      </c>
      <c r="E6" s="7" t="inlineStr">
        <is>
          <t>Default for missing/anomalous DAY_SUPPLY (medical and pharmacy).</t>
        </is>
      </c>
      <c r="F6" s="7" t="inlineStr">
        <is>
          <t>n/a</t>
        </is>
      </c>
      <c r="G6" s="7" t="inlineStr">
        <is>
          <t>Use COALESCE; do NOT delete claims.</t>
        </is>
      </c>
      <c r="H6" s="7" t="inlineStr"/>
    </row>
    <row r="7">
      <c r="A7" s="7" t="inlineStr">
        <is>
          <t>FU_PD</t>
        </is>
      </c>
      <c r="B7" s="7" t="inlineStr">
        <is>
          <t>ALLO_ALWAYS_ENDS_LOT</t>
        </is>
      </c>
      <c r="C7" s="7" t="inlineStr">
        <is>
          <t>ALLO always ends current LOT</t>
        </is>
      </c>
      <c r="D7" s="7" t="inlineStr">
        <is>
          <t>TRUE</t>
        </is>
      </c>
      <c r="E7" s="7" t="inlineStr">
        <is>
          <t>Any ALLO ends current LOT day before ALLO, and starts a new ALLO LOT.</t>
        </is>
      </c>
      <c r="F7" s="7" t="inlineStr">
        <is>
          <t>CL_SCT_CODELIST (ALLO)</t>
        </is>
      </c>
      <c r="G7" s="7" t="inlineStr"/>
      <c r="H7" s="7" t="inlineStr"/>
    </row>
    <row r="8">
      <c r="A8" s="7" t="inlineStr">
        <is>
          <t>FU_PD</t>
        </is>
      </c>
      <c r="B8" s="7" t="inlineStr">
        <is>
          <t>AUTO_TANDEM_WINDOW</t>
        </is>
      </c>
      <c r="C8" s="7" t="inlineStr">
        <is>
          <t>Tandem AUTO window</t>
        </is>
      </c>
      <c r="D8" s="7" t="inlineStr">
        <is>
          <t>60-180 days</t>
        </is>
      </c>
      <c r="E8" s="7" t="inlineStr">
        <is>
          <t>Two AUTOs &gt;=60 and &lt;=180 days apart = planned tandem (same LOT). &gt;180 days = unplanned (new LOT).</t>
        </is>
      </c>
      <c r="F8" s="7" t="inlineStr">
        <is>
          <t>CL_SCT_CODELIST (AUTO)</t>
        </is>
      </c>
      <c r="G8" s="7" t="inlineStr">
        <is>
          <t>Use datediff without +1.</t>
        </is>
      </c>
      <c r="H8" s="7" t="inlineStr"/>
    </row>
    <row r="9">
      <c r="A9" s="7" t="inlineStr">
        <is>
          <t>FU_PD</t>
        </is>
      </c>
      <c r="B9" s="7" t="inlineStr">
        <is>
          <t>CART_CONSOLIDATION_DAYS</t>
        </is>
      </c>
      <c r="C9" s="7" t="inlineStr">
        <is>
          <t>CAR-T consolidation window</t>
        </is>
      </c>
      <c r="D9" s="7" t="inlineStr">
        <is>
          <t>45</t>
        </is>
      </c>
      <c r="E9" s="7" t="inlineStr">
        <is>
          <t>Agents within 45d of FIRST_CART_DT are consolidated into the CAR-T LOT. Apr 22 study-team decision (Q11).</t>
        </is>
      </c>
      <c r="F9" s="7" t="inlineStr">
        <is>
          <t>CL_SCT_CODELIST (CART)</t>
        </is>
      </c>
      <c r="G9" s="7" t="inlineStr">
        <is>
          <t>Do NOT advance to LOT_(N+1) for consolidated agents.</t>
        </is>
      </c>
      <c r="H9" s="7" t="inlineStr"/>
    </row>
    <row r="10">
      <c r="A10" s="7" t="inlineStr">
        <is>
          <t>FU_PD</t>
        </is>
      </c>
      <c r="B10" s="7" t="inlineStr">
        <is>
          <t>LOTN_BASE_END_DT</t>
        </is>
      </c>
      <c r="C10" s="7" t="inlineStr">
        <is>
          <t>Final LOT N end date (PRIMARY)</t>
        </is>
      </c>
      <c r="D10" s="7" t="inlineStr">
        <is>
          <t>Date</t>
        </is>
      </c>
      <c r="E10" s="7" t="inlineStr">
        <is>
          <t>Earliest qualifying end event from LOTN_END_DT_TEMP.</t>
        </is>
      </c>
      <c r="F10" s="7" t="inlineStr">
        <is>
          <t>n/a</t>
        </is>
      </c>
      <c r="G10" s="7" t="inlineStr">
        <is>
          <t>ALLO/CAR-T LOT span: see Q2.</t>
        </is>
      </c>
      <c r="H10" s="7" t="inlineStr"/>
    </row>
    <row r="11">
      <c r="A11" s="7" t="inlineStr">
        <is>
          <t>FU_PD</t>
        </is>
      </c>
      <c r="B11" s="7" t="inlineStr">
        <is>
          <t>LOTN_BASE_END_REASON</t>
        </is>
      </c>
      <c r="C11" s="7" t="inlineStr">
        <is>
          <t>Final LOT N end reason (PRIMARY)</t>
        </is>
      </c>
      <c r="D11" s="7" t="inlineStr">
        <is>
          <t>SCT_ALLO / SCT_CART / SCT_AUTO / CART_INIT / MED_ADD / DISCONTINUATION / DEATH / STUDY_END</t>
        </is>
      </c>
      <c r="E11" s="7" t="inlineStr">
        <is>
          <t>Reason corresponding to LOTN_BASE_END_DT. DISENROLLMENT only in sensitivity (see *_CE_SENS).</t>
        </is>
      </c>
      <c r="F11" s="7" t="inlineStr">
        <is>
          <t>n/a</t>
        </is>
      </c>
      <c r="G11" s="7" t="inlineStr">
        <is>
          <t>DRAFT same-day priority (inherits LOT1 - confirm): SCT_ALLO &gt; SCT_CART &gt; SCT_AUTO &gt; CART_INIT &gt; MED_ADD &gt; DISCONTINUATION &gt; DEATH &gt; STUDY_END. CART_INIT logic inherits LOT1 (CAR-T within 45d of first add) - confirm applies to LOT2-5.</t>
        </is>
      </c>
      <c r="H11" s="7" t="inlineStr"/>
    </row>
    <row r="12">
      <c r="A12" s="7" t="inlineStr">
        <is>
          <t>FU_PD</t>
        </is>
      </c>
      <c r="B12" s="7" t="inlineStr">
        <is>
          <t>LOTN_BASE_END_DT_CE_SENS</t>
        </is>
      </c>
      <c r="C12" s="7" t="inlineStr">
        <is>
          <t>LOT N end date (SENSITIVITY)</t>
        </is>
      </c>
      <c r="D12" s="7" t="inlineStr">
        <is>
          <t>Date</t>
        </is>
      </c>
      <c r="E12" s="7" t="inlineStr">
        <is>
          <t>Same as LOTN_BASE_END_DT, additionally capped at ELIGEND. Emitted when CENSOR_AT_DISENROLLMENT = TRUE.</t>
        </is>
      </c>
      <c r="F12" s="7" t="inlineStr">
        <is>
          <t>T_MEMBER_CONT_ENROLLMENT</t>
        </is>
      </c>
      <c r="G12" s="7" t="inlineStr">
        <is>
          <t>Primary LOTN_BASE_END_DT untouched.</t>
        </is>
      </c>
      <c r="H12" s="7" t="inlineStr"/>
    </row>
    <row r="13">
      <c r="A13" s="7" t="inlineStr">
        <is>
          <t>FU_PD</t>
        </is>
      </c>
      <c r="B13" s="7" t="inlineStr">
        <is>
          <t>LOTN_BASE_END_REASON_CE_SENS</t>
        </is>
      </c>
      <c r="C13" s="7" t="inlineStr">
        <is>
          <t>LOT N end reason (SENSITIVITY)</t>
        </is>
      </c>
      <c r="D13" s="7" t="inlineStr">
        <is>
          <t>(primary set) + DISENROLLMENT</t>
        </is>
      </c>
      <c r="E13" s="7" t="inlineStr">
        <is>
          <t>Same as primary, plus DISENROLLMENT when ELIGEND binds.</t>
        </is>
      </c>
      <c r="F13" s="7" t="inlineStr">
        <is>
          <t>n/a</t>
        </is>
      </c>
      <c r="G13" s="7" t="inlineStr">
        <is>
          <t>REQUIRED: emit DISENROLLMENT (do NOT collapse to STUDY_END). Diverges from current LOT1 behaviour.</t>
        </is>
      </c>
      <c r="H13" s="7" t="inlineStr"/>
    </row>
    <row r="14">
      <c r="A14" s="7" t="inlineStr">
        <is>
          <t>FU_PD</t>
        </is>
      </c>
      <c r="B14" s="7" t="inlineStr">
        <is>
          <t>LOTN_BASE_LENGTH</t>
        </is>
      </c>
      <c r="C14" s="7" t="inlineStr">
        <is>
          <t>LOT N duration (days)</t>
        </is>
      </c>
      <c r="D14" s="7" t="inlineStr">
        <is>
          <t>Integer</t>
        </is>
      </c>
      <c r="E14" s="7" t="inlineStr">
        <is>
          <t>If reason = DISCONTINUATION: LOTN_BASE_DISCON_DT - LOTN_START_DT + 1. Else: LOTN_BASE_END_DT - LOTN_START_DT + 1.</t>
        </is>
      </c>
      <c r="F14" s="7" t="inlineStr">
        <is>
          <t>n/a</t>
        </is>
      </c>
      <c r="G14" s="7" t="inlineStr">
        <is>
          <t>Confirm censored handling (LOT1 M1).</t>
        </is>
      </c>
      <c r="H14" s="7" t="inlineStr"/>
    </row>
    <row r="15">
      <c r="A15" s="7" t="inlineStr">
        <is>
          <t>FU_PD</t>
        </is>
      </c>
      <c r="B15" s="7" t="inlineStr">
        <is>
          <t>PERMISSIBLE_SUBS_EFFECT</t>
        </is>
      </c>
      <c r="C15" s="7" t="inlineStr">
        <is>
          <t>Biosimilar substitution rule</t>
        </is>
      </c>
      <c r="D15" s="7" t="inlineStr">
        <is>
          <t>Do not advance LOT</t>
        </is>
      </c>
      <c r="E15" s="7" t="inlineStr">
        <is>
          <t>Biosimilar swap within a reference product family does not end/advance the LOT. Regimen named by longest-duration drug.</t>
        </is>
      </c>
      <c r="F15" s="7" t="inlineStr">
        <is>
          <t>permissible_subs</t>
        </is>
      </c>
      <c r="G15" s="7" t="inlineStr"/>
      <c r="H15" s="7" t="inlineStr"/>
    </row>
    <row r="18" ht="22" customHeight="1">
      <c r="A18" s="8" t="inlineStr">
        <is>
          <t>WORKED EXAMPLE D - End-reason priority with CART_INIT</t>
        </is>
      </c>
    </row>
    <row r="19" ht="60" customHeight="1">
      <c r="A19" s="9" t="inlineStr">
        <is>
          <t>LOT3 starts 2025-11-01 (KRd). Competing events: run-out 2026-04-15; POMA add 2026-03-20; CAR-T 2026-04-02 (within 45d of POMA); death 2026-05-20. Priority resolves to CART_INIT.</t>
        </is>
      </c>
      <c r="B19" s="10" t="n"/>
      <c r="C19" s="10" t="n"/>
      <c r="D19" s="10" t="n"/>
      <c r="E19" s="10" t="n"/>
      <c r="F19" s="10" t="n"/>
      <c r="G19" s="10" t="n"/>
      <c r="H19" s="11" t="n"/>
    </row>
    <row r="20">
      <c r="A20" s="12" t="inlineStr">
        <is>
          <t>Variable</t>
        </is>
      </c>
      <c r="B20" s="12" t="inlineStr">
        <is>
          <t>Value for this patient</t>
        </is>
      </c>
      <c r="C20" s="12" t="inlineStr">
        <is>
          <t>How it was derived</t>
        </is>
      </c>
      <c r="D20" s="12" t="n"/>
      <c r="E20" s="12" t="n"/>
      <c r="F20" s="12" t="n"/>
      <c r="G20" s="12" t="n"/>
      <c r="H20" s="12" t="n"/>
    </row>
    <row r="21">
      <c r="A21" s="13" t="inlineStr">
        <is>
          <t>LOTN_BASE_END_DT</t>
        </is>
      </c>
      <c r="B21" s="9" t="inlineStr">
        <is>
          <t>2026-04-01</t>
        </is>
      </c>
      <c r="C21" s="9" t="inlineStr">
        <is>
          <t>FIRST_CART_DT - 1.</t>
        </is>
      </c>
      <c r="D21" s="9" t="n"/>
      <c r="E21" s="9" t="n"/>
      <c r="F21" s="9" t="n"/>
      <c r="G21" s="9" t="n"/>
      <c r="H21" s="9" t="n"/>
    </row>
    <row r="22">
      <c r="A22" s="13" t="inlineStr">
        <is>
          <t>LOTN_BASE_END_REASON</t>
        </is>
      </c>
      <c r="B22" s="9" t="inlineStr">
        <is>
          <t>CART_INIT</t>
        </is>
      </c>
      <c r="C22" s="9" t="inlineStr">
        <is>
          <t>CART_INIT outranks MED_ADD; CAR-T within 45d of first add.</t>
        </is>
      </c>
      <c r="D22" s="9" t="n"/>
      <c r="E22" s="9" t="n"/>
      <c r="F22" s="9" t="n"/>
      <c r="G22" s="9" t="n"/>
      <c r="H22" s="9" t="n"/>
    </row>
    <row r="23">
      <c r="A23" s="13" t="inlineStr">
        <is>
          <t>LOTN_BASE_LENGTH</t>
        </is>
      </c>
      <c r="B23" s="9" t="inlineStr">
        <is>
          <t>152</t>
        </is>
      </c>
      <c r="C23" s="9" t="inlineStr">
        <is>
          <t>2026-04-01 - 2025-11-01 + 1.</t>
        </is>
      </c>
      <c r="D23" s="9" t="n"/>
      <c r="E23" s="9" t="n"/>
      <c r="F23" s="9" t="n"/>
      <c r="G23" s="9" t="n"/>
      <c r="H23" s="9" t="n"/>
    </row>
    <row r="24">
      <c r="A24" s="13" t="inlineStr">
        <is>
          <t>LOT_(N+1)_START_DT</t>
        </is>
      </c>
      <c r="B24" s="9" t="inlineStr">
        <is>
          <t>2026-04-02</t>
        </is>
      </c>
      <c r="C24" s="9" t="inlineStr">
        <is>
          <t>LOT4_START_TYPE = CART.</t>
        </is>
      </c>
      <c r="D24" s="9" t="n"/>
      <c r="E24" s="9" t="n"/>
      <c r="F24" s="9" t="n"/>
      <c r="G24" s="9" t="n"/>
      <c r="H24" s="9" t="n"/>
    </row>
    <row r="27" ht="22" customHeight="1">
      <c r="A27" s="8" t="inlineStr">
        <is>
          <t>WORKED EXAMPLE E - Discontinuation (run-out)</t>
        </is>
      </c>
    </row>
    <row r="28" ht="60" customHeight="1">
      <c r="A28" s="9" t="inlineStr">
        <is>
          <t>LOT2 starts 2025-08-20 (DARA+LENA). Last LENA MAP_END_DT 2026-02-06; last DARA 2026-01-15. No new agent in 90d.</t>
        </is>
      </c>
      <c r="B28" s="10" t="n"/>
      <c r="C28" s="10" t="n"/>
      <c r="D28" s="10" t="n"/>
      <c r="E28" s="10" t="n"/>
      <c r="F28" s="10" t="n"/>
      <c r="G28" s="10" t="n"/>
      <c r="H28" s="11" t="n"/>
    </row>
    <row r="29">
      <c r="A29" s="12" t="inlineStr">
        <is>
          <t>Variable</t>
        </is>
      </c>
      <c r="B29" s="12" t="inlineStr">
        <is>
          <t>Value for this patient</t>
        </is>
      </c>
      <c r="C29" s="12" t="inlineStr">
        <is>
          <t>How it was derived</t>
        </is>
      </c>
      <c r="D29" s="12" t="n"/>
      <c r="E29" s="12" t="n"/>
      <c r="F29" s="12" t="n"/>
      <c r="G29" s="12" t="n"/>
      <c r="H29" s="12" t="n"/>
    </row>
    <row r="30">
      <c r="A30" s="13" t="inlineStr">
        <is>
          <t>LOTN_BASE_DISCON_DT</t>
        </is>
      </c>
      <c r="B30" s="9" t="inlineStr">
        <is>
          <t>2026-02-06</t>
        </is>
      </c>
      <c r="C30" s="9" t="inlineStr">
        <is>
          <t>max(MAP_END_DT) across LOT2 induction agents.</t>
        </is>
      </c>
      <c r="D30" s="9" t="n"/>
      <c r="E30" s="9" t="n"/>
      <c r="F30" s="9" t="n"/>
      <c r="G30" s="9" t="n"/>
      <c r="H30" s="9" t="n"/>
    </row>
    <row r="31">
      <c r="A31" s="13" t="inlineStr">
        <is>
          <t>LOTN_BASE_END_DT</t>
        </is>
      </c>
      <c r="B31" s="9" t="inlineStr">
        <is>
          <t>2026-02-06</t>
        </is>
      </c>
      <c r="C31" s="9" t="inlineStr">
        <is>
          <t>Run-out date itself when reason = DISCONTINUATION.</t>
        </is>
      </c>
      <c r="D31" s="9" t="n"/>
      <c r="E31" s="9" t="n"/>
      <c r="F31" s="9" t="n"/>
      <c r="G31" s="9" t="n"/>
      <c r="H31" s="9" t="n"/>
    </row>
    <row r="32">
      <c r="A32" s="13" t="inlineStr">
        <is>
          <t>LOTN_BASE_END_REASON</t>
        </is>
      </c>
      <c r="B32" s="9" t="inlineStr">
        <is>
          <t>DISCONTINUATION</t>
        </is>
      </c>
      <c r="C32" s="9" t="inlineStr">
        <is>
          <t>Run-out reached; no agent within 90d gap.</t>
        </is>
      </c>
      <c r="D32" s="9" t="n"/>
      <c r="E32" s="9" t="n"/>
      <c r="F32" s="9" t="n"/>
      <c r="G32" s="9" t="n"/>
      <c r="H32" s="9" t="n"/>
    </row>
    <row r="33">
      <c r="A33" s="13" t="inlineStr">
        <is>
          <t>LOTN_BASE_LENGTH</t>
        </is>
      </c>
      <c r="B33" s="9" t="inlineStr">
        <is>
          <t>171</t>
        </is>
      </c>
      <c r="C33" s="9" t="inlineStr">
        <is>
          <t>2026-02-06 - 2025-08-20 + 1.</t>
        </is>
      </c>
      <c r="D33" s="9" t="n"/>
      <c r="E33" s="9" t="n"/>
      <c r="F33" s="9" t="n"/>
      <c r="G33" s="9" t="n"/>
      <c r="H33" s="9" t="n"/>
    </row>
    <row r="36" ht="22" customHeight="1">
      <c r="A36" s="8" t="inlineStr">
        <is>
          <t>WORKED EXAMPLE F - Disenrollment primary vs sensitivity</t>
        </is>
      </c>
    </row>
    <row r="37" ht="60" customHeight="1">
      <c r="A37" s="9" t="inlineStr">
        <is>
          <t>LOT4 starts 2026-01-05. ELIGEND 2026-04-30; no death; study_end 2026-12-31.</t>
        </is>
      </c>
      <c r="B37" s="10" t="n"/>
      <c r="C37" s="10" t="n"/>
      <c r="D37" s="10" t="n"/>
      <c r="E37" s="10" t="n"/>
      <c r="F37" s="10" t="n"/>
      <c r="G37" s="10" t="n"/>
      <c r="H37" s="11" t="n"/>
    </row>
    <row r="38">
      <c r="A38" s="12" t="inlineStr">
        <is>
          <t>Variable</t>
        </is>
      </c>
      <c r="B38" s="12" t="inlineStr">
        <is>
          <t>Value for this patient</t>
        </is>
      </c>
      <c r="C38" s="12" t="inlineStr">
        <is>
          <t>How it was derived</t>
        </is>
      </c>
      <c r="D38" s="12" t="n"/>
      <c r="E38" s="12" t="n"/>
      <c r="F38" s="12" t="n"/>
      <c r="G38" s="12" t="n"/>
      <c r="H38" s="12" t="n"/>
    </row>
    <row r="39">
      <c r="A39" s="13" t="inlineStr">
        <is>
          <t>LOTN_BASE_END_DT (PRIMARY)</t>
        </is>
      </c>
      <c r="B39" s="9" t="inlineStr">
        <is>
          <t>2026-12-31</t>
        </is>
      </c>
      <c r="C39" s="9" t="inlineStr">
        <is>
          <t>Disenrollment ignored; min(death, study_end) = study_end.</t>
        </is>
      </c>
      <c r="D39" s="9" t="n"/>
      <c r="E39" s="9" t="n"/>
      <c r="F39" s="9" t="n"/>
      <c r="G39" s="9" t="n"/>
      <c r="H39" s="9" t="n"/>
    </row>
    <row r="40">
      <c r="A40" s="13" t="inlineStr">
        <is>
          <t>LOTN_BASE_END_REASON (PRIMARY)</t>
        </is>
      </c>
      <c r="B40" s="9" t="inlineStr">
        <is>
          <t>STUDY_END</t>
        </is>
      </c>
      <c r="C40" s="9" t="inlineStr"/>
      <c r="D40" s="9" t="n"/>
      <c r="E40" s="9" t="n"/>
      <c r="F40" s="9" t="n"/>
      <c r="G40" s="9" t="n"/>
      <c r="H40" s="9" t="n"/>
    </row>
    <row r="41">
      <c r="A41" s="13" t="inlineStr">
        <is>
          <t>LOTN_BASE_END_DT_CE_SENS</t>
        </is>
      </c>
      <c r="B41" s="9" t="inlineStr">
        <is>
          <t>2026-04-30</t>
        </is>
      </c>
      <c r="C41" s="9" t="inlineStr">
        <is>
          <t>ELIGEND binds.</t>
        </is>
      </c>
      <c r="D41" s="9" t="n"/>
      <c r="E41" s="9" t="n"/>
      <c r="F41" s="9" t="n"/>
      <c r="G41" s="9" t="n"/>
      <c r="H41" s="9" t="n"/>
    </row>
    <row r="42">
      <c r="A42" s="13" t="inlineStr">
        <is>
          <t>LOTN_BASE_END_REASON_CE_SENS</t>
        </is>
      </c>
      <c r="B42" s="9" t="inlineStr">
        <is>
          <t>DISENROLLMENT</t>
        </is>
      </c>
      <c r="C42" s="9" t="inlineStr">
        <is>
          <t>Required: do NOT collapse to STUDY_END.</t>
        </is>
      </c>
      <c r="D42" s="9" t="n"/>
      <c r="E42" s="9" t="n"/>
      <c r="F42" s="9" t="n"/>
      <c r="G42" s="9" t="n"/>
      <c r="H42" s="9" t="n"/>
    </row>
    <row r="43">
      <c r="A43" s="13" t="inlineStr">
        <is>
          <t>LOTN_BASE_LENGTH (PRIMARY)</t>
        </is>
      </c>
      <c r="B43" s="9" t="inlineStr">
        <is>
          <t>361</t>
        </is>
      </c>
      <c r="C43" s="9" t="inlineStr">
        <is>
          <t>2026-12-31 - 2026-01-05 + 1.</t>
        </is>
      </c>
      <c r="D43" s="9" t="n"/>
      <c r="E43" s="9" t="n"/>
      <c r="F43" s="9" t="n"/>
      <c r="G43" s="9" t="n"/>
      <c r="H43" s="9" t="n"/>
    </row>
    <row r="44">
      <c r="A44" s="13" t="inlineStr">
        <is>
          <t>LOTN_BASE_LENGTH_CE_SENS</t>
        </is>
      </c>
      <c r="B44" s="9" t="inlineStr">
        <is>
          <t>116</t>
        </is>
      </c>
      <c r="C44" s="9" t="inlineStr">
        <is>
          <t>2026-04-30 - 2026-01-05 + 1.</t>
        </is>
      </c>
      <c r="D44" s="9" t="n"/>
      <c r="E44" s="9" t="n"/>
      <c r="F44" s="9" t="n"/>
      <c r="G44" s="9" t="n"/>
      <c r="H44" s="9" t="n"/>
    </row>
  </sheetData>
  <mergeCells count="23">
    <mergeCell ref="C41:H41"/>
    <mergeCell ref="C44:H44"/>
    <mergeCell ref="C22:H22"/>
    <mergeCell ref="C40:H40"/>
    <mergeCell ref="C31:H31"/>
    <mergeCell ref="A36:H36"/>
    <mergeCell ref="C43:H43"/>
    <mergeCell ref="C21:H21"/>
    <mergeCell ref="C23:H23"/>
    <mergeCell ref="C39:H39"/>
    <mergeCell ref="A37:H37"/>
    <mergeCell ref="A27:H27"/>
    <mergeCell ref="A18:H18"/>
    <mergeCell ref="C32:H32"/>
    <mergeCell ref="C38:H38"/>
    <mergeCell ref="C30:H30"/>
    <mergeCell ref="C33:H33"/>
    <mergeCell ref="C24:H24"/>
    <mergeCell ref="C42:H42"/>
    <mergeCell ref="A28:H28"/>
    <mergeCell ref="A19:H19"/>
    <mergeCell ref="C20:H20"/>
    <mergeCell ref="C29:H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38" customWidth="1" min="4" max="4"/>
    <col width="36" customWidth="1" min="5" max="5"/>
    <col width="40" customWidth="1" min="6" max="6"/>
  </cols>
  <sheetData>
    <row r="1" ht="30" customHeight="1">
      <c r="A1" s="6" t="inlineStr">
        <is>
          <t>Trigger</t>
        </is>
      </c>
      <c r="B1" s="6" t="inlineStr">
        <is>
          <t>When it starts a new LOT (N&gt;=2)</t>
        </is>
      </c>
      <c r="C1" s="6" t="inlineStr">
        <is>
          <t>LOT N start date</t>
        </is>
      </c>
      <c r="D1" s="6" t="inlineStr">
        <is>
          <t>LOT N regimen scope</t>
        </is>
      </c>
      <c r="E1" s="6" t="inlineStr">
        <is>
          <t>End-of-LOT-(N-1) reason</t>
        </is>
      </c>
      <c r="F1" s="6" t="inlineStr">
        <is>
          <t>Notes</t>
        </is>
      </c>
    </row>
    <row r="2">
      <c r="A2" s="7" t="inlineStr">
        <is>
          <t>ALLO SCT</t>
        </is>
      </c>
      <c r="B2" s="7" t="inlineStr">
        <is>
          <t>Always.</t>
        </is>
      </c>
      <c r="C2" s="7" t="inlineStr">
        <is>
          <t>ALLO_DT</t>
        </is>
      </c>
      <c r="D2" s="7" t="inlineStr">
        <is>
          <t>No MM therapies in this LOT.</t>
        </is>
      </c>
      <c r="E2" s="7" t="inlineStr">
        <is>
          <t>SCT_ALLO</t>
        </is>
      </c>
      <c r="F2" s="7" t="inlineStr">
        <is>
          <t>Q2: span = single day (draft).</t>
        </is>
      </c>
    </row>
    <row r="3">
      <c r="A3" s="7" t="inlineStr">
        <is>
          <t>CAR-T</t>
        </is>
      </c>
      <c r="B3" s="7" t="inlineStr">
        <is>
          <t>Always.</t>
        </is>
      </c>
      <c r="C3" s="7" t="inlineStr">
        <is>
          <t>FIRST_CART_DT</t>
        </is>
      </c>
      <c r="D3" s="7" t="inlineStr">
        <is>
          <t>Agents within 45d are consolidated into this LOT.</t>
        </is>
      </c>
      <c r="E3" s="7" t="inlineStr">
        <is>
          <t>SCT_CART (or CART_INIT if CAR-T within 45d of first add in LOT_(N-1))</t>
        </is>
      </c>
      <c r="F3" s="7" t="inlineStr">
        <is>
          <t>45d per Apr 22 (Q11).</t>
        </is>
      </c>
    </row>
    <row r="4">
      <c r="A4" s="7" t="inlineStr">
        <is>
          <t>Unplanned AUTO</t>
        </is>
      </c>
      <c r="B4" s="7" t="inlineStr">
        <is>
          <t>&gt;180d after prior AUTO in LOT_(N-1).</t>
        </is>
      </c>
      <c r="C4" s="7" t="inlineStr">
        <is>
          <t>AUTO_DT</t>
        </is>
      </c>
      <c r="D4" s="7" t="inlineStr">
        <is>
          <t>30d induction from AUTO_DT.</t>
        </is>
      </c>
      <c r="E4" s="7" t="inlineStr">
        <is>
          <t>SCT_AUTO</t>
        </is>
      </c>
      <c r="F4" s="7" t="inlineStr">
        <is>
          <t>Planned tandem (60-180d) does NOT start a new LOT.</t>
        </is>
      </c>
    </row>
    <row r="5">
      <c r="A5" s="7" t="inlineStr">
        <is>
          <t>New MM agent</t>
        </is>
      </c>
      <c r="B5" s="7" t="inlineStr">
        <is>
          <t>After LOT_(N-1) ended by DISCONTINUATION or MED_ADD with no SCT/CAR-T.</t>
        </is>
      </c>
      <c r="C5" s="7" t="inlineStr">
        <is>
          <t>MAP_START_DT of new agent</t>
        </is>
      </c>
      <c r="D5" s="7" t="inlineStr">
        <is>
          <t>30d induction window.</t>
        </is>
      </c>
      <c r="E5" s="7" t="inlineStr">
        <is>
          <t>n/a</t>
        </is>
      </c>
      <c r="F5" s="7" t="inlineStr">
        <is>
          <t>Steroids and biosimilar subs do not start a LOT.</t>
        </is>
      </c>
    </row>
    <row r="6">
      <c r="A6" s="7" t="inlineStr">
        <is>
          <t>Death / STUDY_END (PRIMARY)</t>
        </is>
      </c>
      <c r="B6" s="7" t="inlineStr">
        <is>
          <t>Never starts a LOT; ends follow-up.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DEATH / STUDY_END</t>
        </is>
      </c>
      <c r="F6" s="7" t="inlineStr">
        <is>
          <t>Disenrollment is NOT a primary end event.</t>
        </is>
      </c>
    </row>
    <row r="7">
      <c r="A7" s="7" t="inlineStr">
        <is>
          <t>Disenrollment (SENSITIVITY only)</t>
        </is>
      </c>
      <c r="B7" s="7" t="inlineStr">
        <is>
          <t>Never starts a LOT.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DISENROLLMENT (sensitivity)</t>
        </is>
      </c>
      <c r="F7" s="7" t="inlineStr">
        <is>
          <t>Cap via ENDDATE_CE only when CENSOR_AT_DISENROLLMENT = TRUE. Q12.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50" customWidth="1" min="2" max="2"/>
    <col width="70" customWidth="1" min="3" max="3"/>
  </cols>
  <sheetData>
    <row r="1" ht="30" customHeight="1">
      <c r="A1" s="6" t="inlineStr">
        <is>
          <t>Scenario</t>
        </is>
      </c>
      <c r="B1" s="6" t="inlineStr">
        <is>
          <t>Description</t>
        </is>
      </c>
      <c r="C1" s="6" t="inlineStr">
        <is>
          <t>Expected LOT2-5 behaviour</t>
        </is>
      </c>
    </row>
    <row r="2">
      <c r="A2" s="7" t="inlineStr">
        <is>
          <t>S1. LOT1-&gt;LOT2 by MED_ADD</t>
        </is>
      </c>
      <c r="B2" s="7" t="inlineStr">
        <is>
          <t>VRd in LOT1; DARA added day 200.</t>
        </is>
      </c>
      <c r="C2" s="7" t="inlineStr">
        <is>
          <t>LOT1 ends d199. LOT2_START_DT=d200, TYPE=MED. Induction d200-d229.</t>
        </is>
      </c>
    </row>
    <row r="3">
      <c r="A3" s="7" t="inlineStr">
        <is>
          <t>S2. LOT1-&gt;LOT2 by unplanned AUTO</t>
        </is>
      </c>
      <c r="B3" s="7" t="inlineStr">
        <is>
          <t>Single AUTO d100; second AUTO d320 (220d later).</t>
        </is>
      </c>
      <c r="C3" s="7" t="inlineStr">
        <is>
          <t>LOT1 ends d319. LOT2_START_DT=d320, TYPE=SCT_AUTO.</t>
        </is>
      </c>
    </row>
    <row r="4">
      <c r="A4" s="7" t="inlineStr">
        <is>
          <t>S3. LOT1-&gt;LOT2 (ALLO LOT)-&gt;LOT3</t>
        </is>
      </c>
      <c r="B4" s="7" t="inlineStr">
        <is>
          <t>ALLO during/after LOT1, then later DARA.</t>
        </is>
      </c>
      <c r="C4" s="7" t="inlineStr">
        <is>
          <t>LOT2: start=end=ALLO_DT (Q2 draft), no MM. Next agent starts LOT3.</t>
        </is>
      </c>
    </row>
    <row r="5">
      <c r="A5" s="7" t="inlineStr">
        <is>
          <t>S4. LOT1-&gt;LOT2 (CAR-T LOT)</t>
        </is>
      </c>
      <c r="B5" s="7" t="inlineStr">
        <is>
          <t>CAR-T infusion.</t>
        </is>
      </c>
      <c r="C5" s="7" t="inlineStr">
        <is>
          <t>LOT2_START_DT=FIRST_CART_DT, TYPE=CART. Agents within 45d consolidated.</t>
        </is>
      </c>
    </row>
    <row r="6">
      <c r="A6" s="7" t="inlineStr">
        <is>
          <t>S5. LOT2-&gt;LOT3 by DISCONTINUATION</t>
        </is>
      </c>
      <c r="B6" s="7" t="inlineStr">
        <is>
          <t>Run-out, then new agent 200d later.</t>
        </is>
      </c>
      <c r="C6" s="7" t="inlineStr">
        <is>
          <t>LOT2 ends DISCONTINUATION. LOT3_START_DT = first new agent.</t>
        </is>
      </c>
    </row>
    <row r="7">
      <c r="A7" s="7" t="inlineStr">
        <is>
          <t>S6. LOT3 ends by DEATH</t>
        </is>
      </c>
      <c r="B7" s="7" t="inlineStr">
        <is>
          <t>Death during LOT3.</t>
        </is>
      </c>
      <c r="C7" s="7" t="inlineStr">
        <is>
          <t>LOT3_BASE_END_DT=YMDOD, reason=DEATH. No LOT4.</t>
        </is>
      </c>
    </row>
    <row r="8">
      <c r="A8" s="7" t="inlineStr">
        <is>
          <t>S6b. Disenrollment (primary vs sensitivity)</t>
        </is>
      </c>
      <c r="B8" s="7" t="inlineStr">
        <is>
          <t>ELIGEND during LOT3, no death, study_end later.</t>
        </is>
      </c>
      <c r="C8" s="7" t="inlineStr">
        <is>
          <t>PRIMARY: reason=STUDY_END at study_end. SENSITIVITY: *_CE_SENS at ELIGEND, reason=DISENROLLMENT.</t>
        </is>
      </c>
    </row>
    <row r="9">
      <c r="A9" s="7" t="inlineStr">
        <is>
          <t>S7. Tandem AUTO in LOT2</t>
        </is>
      </c>
      <c r="B9" s="7" t="inlineStr">
        <is>
          <t>Two AUTOs 90d apart.</t>
        </is>
      </c>
      <c r="C9" s="7" t="inlineStr">
        <is>
          <t>Planned tandem; LOT2 continues. AUTO_TAND_FLG=1.</t>
        </is>
      </c>
    </row>
    <row r="10">
      <c r="A10" s="7" t="inlineStr">
        <is>
          <t>S8. Biosimilar swap in LOT2</t>
        </is>
      </c>
      <c r="B10" s="7" t="inlineStr">
        <is>
          <t>DARA -&gt; DARA biosimilar.</t>
        </is>
      </c>
      <c r="C10" s="7" t="inlineStr">
        <is>
          <t>LOT does not advance.</t>
        </is>
      </c>
    </row>
    <row r="11">
      <c r="A11" s="7" t="inlineStr">
        <is>
          <t>S9. ALLO LOT span</t>
        </is>
      </c>
      <c r="B11" s="7" t="inlineStr">
        <is>
          <t>ALLO with no follow-on therapy.</t>
        </is>
      </c>
      <c r="C11" s="7" t="inlineStr">
        <is>
          <t>Q2 draft: 1-day LOT.</t>
        </is>
      </c>
    </row>
    <row r="12">
      <c r="A12" s="7" t="inlineStr">
        <is>
          <t>S10. CART_INIT carryover</t>
        </is>
      </c>
      <c r="B12" s="7" t="inlineStr">
        <is>
          <t>CAR-T within 45d of first add in LOT1.</t>
        </is>
      </c>
      <c r="C12" s="7" t="inlineStr">
        <is>
          <t>LOT1 ends with CART_INIT (LOT1 spec). LOT2_START_TYPE=CART.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60" customWidth="1" min="3" max="3"/>
    <col width="20" customWidth="1" min="4" max="4"/>
    <col width="12" customWidth="1" min="5" max="5"/>
  </cols>
  <sheetData>
    <row r="1" ht="30" customHeight="1">
      <c r="A1" s="6" t="inlineStr">
        <is>
          <t>#</t>
        </is>
      </c>
      <c r="B1" s="6" t="inlineStr">
        <is>
          <t>Question / Assumption</t>
        </is>
      </c>
      <c r="C1" s="6" t="inlineStr">
        <is>
          <t>Draft answer</t>
        </is>
      </c>
      <c r="D1" s="6" t="inlineStr">
        <is>
          <t>Owner</t>
        </is>
      </c>
      <c r="E1" s="6" t="inlineStr">
        <is>
          <t>Status</t>
        </is>
      </c>
    </row>
    <row r="2">
      <c r="A2" s="7" t="inlineStr">
        <is>
          <t>Q1</t>
        </is>
      </c>
      <c r="B2" s="7" t="inlineStr">
        <is>
          <t>90-day discontinuation gap inherited from LOT1?</t>
        </is>
      </c>
      <c r="C2" s="7" t="inlineStr">
        <is>
          <t>Draft: yes.</t>
        </is>
      </c>
      <c r="D2" s="7" t="inlineStr">
        <is>
          <t>Julia / Peter</t>
        </is>
      </c>
      <c r="E2" s="7" t="inlineStr">
        <is>
          <t>Open</t>
        </is>
      </c>
    </row>
    <row r="3">
      <c r="A3" s="7" t="inlineStr">
        <is>
          <t>Q2</t>
        </is>
      </c>
      <c r="B3" s="7" t="inlineStr">
        <is>
          <t>ALLO LOT span: single day or until next agent?</t>
        </is>
      </c>
      <c r="C3" s="7" t="inlineStr">
        <is>
          <t>Draft: single day (start=end=ALLO_DT).</t>
        </is>
      </c>
      <c r="D3" s="7" t="inlineStr">
        <is>
          <t>Julia / Peter</t>
        </is>
      </c>
      <c r="E3" s="7" t="inlineStr">
        <is>
          <t>Open</t>
        </is>
      </c>
    </row>
    <row r="4">
      <c r="A4" s="7" t="inlineStr">
        <is>
          <t>Q3</t>
        </is>
      </c>
      <c r="B4" s="7" t="inlineStr">
        <is>
          <t>CAR-T LOT span when no consolidation agents in 45d?</t>
        </is>
      </c>
      <c r="C4" s="7" t="inlineStr">
        <is>
          <t>Draft: 1 day, else through last consolidation MAP_END_DT.</t>
        </is>
      </c>
      <c r="D4" s="7" t="inlineStr">
        <is>
          <t>Julia / Peter</t>
        </is>
      </c>
      <c r="E4" s="7" t="inlineStr">
        <is>
          <t>Open</t>
        </is>
      </c>
    </row>
    <row r="5">
      <c r="A5" s="7" t="inlineStr">
        <is>
          <t>Q4</t>
        </is>
      </c>
      <c r="B5" s="7" t="inlineStr">
        <is>
          <t>CART_INIT in LOT1 -&gt; LOT2 = CART. Next AUTO -&gt; LOT3 with SCT_AUTO?</t>
        </is>
      </c>
      <c r="C5" s="7" t="inlineStr">
        <is>
          <t>Draft: yes.</t>
        </is>
      </c>
      <c r="D5" s="7" t="inlineStr">
        <is>
          <t>Julia</t>
        </is>
      </c>
      <c r="E5" s="7" t="inlineStr">
        <is>
          <t>Open</t>
        </is>
      </c>
    </row>
    <row r="6">
      <c r="A6" s="7" t="inlineStr">
        <is>
          <t>Q5</t>
        </is>
      </c>
      <c r="B6" s="7" t="inlineStr">
        <is>
          <t>Include MAINTENANCE_END (protocol Rule 8) as LOTN end reason?</t>
        </is>
      </c>
      <c r="C6" s="7" t="inlineStr">
        <is>
          <t>Draft: no - follow current LOT1 code (descriptive flag only).</t>
        </is>
      </c>
      <c r="D6" s="7" t="inlineStr">
        <is>
          <t>Julia</t>
        </is>
      </c>
      <c r="E6" s="7" t="inlineStr">
        <is>
          <t>Open</t>
        </is>
      </c>
    </row>
    <row r="7">
      <c r="A7" s="7" t="inlineStr">
        <is>
          <t>Q6</t>
        </is>
      </c>
      <c r="B7" s="7" t="inlineStr">
        <is>
          <t>Cap LOTs at 5?</t>
        </is>
      </c>
      <c r="C7" s="7" t="inlineStr">
        <is>
          <t>Draft: yes; LOT5+ indicator TBD.</t>
        </is>
      </c>
      <c r="D7" s="7" t="inlineStr">
        <is>
          <t>Julia</t>
        </is>
      </c>
      <c r="E7" s="7" t="inlineStr">
        <is>
          <t>Open</t>
        </is>
      </c>
    </row>
    <row r="8">
      <c r="A8" s="7" t="inlineStr">
        <is>
          <t>Q7</t>
        </is>
      </c>
      <c r="B8" s="7" t="inlineStr">
        <is>
          <t>AUTO flags LOT-scoped to [LOTN_START_DT, LOTN_BASE_END_DT]?</t>
        </is>
      </c>
      <c r="C8" s="7" t="inlineStr">
        <is>
          <t>Draft: yes.</t>
        </is>
      </c>
      <c r="D8" s="7" t="inlineStr">
        <is>
          <t>Onkar</t>
        </is>
      </c>
      <c r="E8" s="7" t="inlineStr">
        <is>
          <t>Open</t>
        </is>
      </c>
    </row>
    <row r="9">
      <c r="A9" s="7" t="inlineStr">
        <is>
          <t>Q8</t>
        </is>
      </c>
      <c r="B9" s="7" t="inlineStr">
        <is>
          <t>Confirm steroid filter applied (LOT1 H1).</t>
        </is>
      </c>
      <c r="C9" s="7" t="inlineStr">
        <is>
          <t>Required: MAP_MED_CLASS != 'STEROID' in induction + first-add CTEs.</t>
        </is>
      </c>
      <c r="D9" s="7" t="inlineStr">
        <is>
          <t>Onkar</t>
        </is>
      </c>
      <c r="E9" s="7" t="inlineStr">
        <is>
          <t>Open</t>
        </is>
      </c>
    </row>
    <row r="10">
      <c r="A10" s="7" t="inlineStr">
        <is>
          <t>Q9</t>
        </is>
      </c>
      <c r="B10" s="7" t="inlineStr">
        <is>
          <t>Confirm tandem off-by-one fix (LOT1 H2).</t>
        </is>
      </c>
      <c r="C10" s="7" t="inlineStr">
        <is>
          <t>Required: drop +1 in datediff; window &gt;=60 AND &lt;=180.</t>
        </is>
      </c>
      <c r="D10" s="7" t="inlineStr">
        <is>
          <t>Onkar</t>
        </is>
      </c>
      <c r="E10" s="7" t="inlineStr">
        <is>
          <t>Open</t>
        </is>
      </c>
    </row>
    <row r="11">
      <c r="A11" s="7" t="inlineStr">
        <is>
          <t>Q10</t>
        </is>
      </c>
      <c r="B11" s="7" t="inlineStr">
        <is>
          <t>Output shape: long (one row per LOT) vs wide?</t>
        </is>
      </c>
      <c r="C11" s="7" t="inlineStr">
        <is>
          <t>Draft: long primary + wide pivot.</t>
        </is>
      </c>
      <c r="D11" s="7" t="inlineStr">
        <is>
          <t>Julia / Dominique</t>
        </is>
      </c>
      <c r="E11" s="7" t="inlineStr">
        <is>
          <t>Open</t>
        </is>
      </c>
    </row>
    <row r="12">
      <c r="A12" s="7" t="inlineStr">
        <is>
          <t>Q11</t>
        </is>
      </c>
      <c r="B12" s="7" t="inlineStr">
        <is>
          <t>CAR-T consolidation: 45 vs 30 days?</t>
        </is>
      </c>
      <c r="C12" s="7" t="inlineStr">
        <is>
          <t>RESOLVED: 45 days (Apr 22 decision; not 'per protocol').</t>
        </is>
      </c>
      <c r="D12" s="7" t="inlineStr">
        <is>
          <t>Julia</t>
        </is>
      </c>
      <c r="E12" s="7" t="inlineStr">
        <is>
          <t>Resolved</t>
        </is>
      </c>
    </row>
    <row r="13">
      <c r="A13" s="7" t="inlineStr">
        <is>
          <t>Q12</t>
        </is>
      </c>
      <c r="B13" s="7" t="inlineStr">
        <is>
          <t>Disenrollment as end event?</t>
        </is>
      </c>
      <c r="C13" s="7" t="inlineStr">
        <is>
          <t>RESOLVED: PRIMARY ignores; SENSITIVITY caps via ENDDATE_CE and emits DISENROLLMENT (do NOT collapse to STUDY_END).</t>
        </is>
      </c>
      <c r="D13" s="7" t="inlineStr">
        <is>
          <t>Julia</t>
        </is>
      </c>
      <c r="E13" s="7" t="inlineStr">
        <is>
          <t>Resolved</t>
        </is>
      </c>
    </row>
    <row r="14">
      <c r="A14" s="7" t="inlineStr">
        <is>
          <t>Q13</t>
        </is>
      </c>
      <c r="B14" s="7" t="inlineStr">
        <is>
          <t>Flag prefix LOTN_TX_ vs LOTN_SCT_ - LOT1 uses LOT1_SCT_AUTO_*FLG.</t>
        </is>
      </c>
      <c r="C14" s="7" t="inlineStr">
        <is>
          <t>Draft uses LOTN_TX_AUTO_*FLG; consider aligning to LOTN_SCT_AUTO_*FLG.</t>
        </is>
      </c>
      <c r="D14" s="7" t="inlineStr">
        <is>
          <t>Onkar / Julia</t>
        </is>
      </c>
      <c r="E14" s="7" t="inlineStr">
        <is>
          <t>Open</t>
        </is>
      </c>
    </row>
    <row r="15">
      <c r="A15" s="7" t="inlineStr">
        <is>
          <t>Q14</t>
        </is>
      </c>
      <c r="B15" s="7" t="inlineStr">
        <is>
          <t>Same-day end-reason priority for LOT2-5 - inherits LOT1?</t>
        </is>
      </c>
      <c r="C15" s="7" t="inlineStr">
        <is>
          <t>Draft: SCT_ALLO &gt; SCT_CART &gt; SCT_AUTO &gt; CART_INIT &gt; MED_ADD &gt; DISCONTINUATION &gt; DEATH &gt; STUDY_END (DISENROLLMENT in sensitivity). Confirm.</t>
        </is>
      </c>
      <c r="D15" s="7" t="inlineStr">
        <is>
          <t>Julia</t>
        </is>
      </c>
      <c r="E15" s="7" t="inlineStr">
        <is>
          <t>Open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4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</cols>
  <sheetData>
    <row r="1" ht="22" customHeight="1">
      <c r="A1" s="14" t="inlineStr">
        <is>
          <t>Patient timelines (Gantt-style) - illustrating LOT2-5 transitions</t>
        </is>
      </c>
    </row>
    <row r="2" ht="18" customHeight="1">
      <c r="A2" s="15" t="inlineStr">
        <is>
          <t>Legend:</t>
        </is>
      </c>
      <c r="B2" s="16" t="inlineStr">
        <is>
          <t>LOT1</t>
        </is>
      </c>
      <c r="C2" s="17" t="inlineStr">
        <is>
          <t>LOT2</t>
        </is>
      </c>
      <c r="D2" s="18" t="inlineStr">
        <is>
          <t>LOT3</t>
        </is>
      </c>
      <c r="E2" s="19" t="inlineStr">
        <is>
          <t>LOT4</t>
        </is>
      </c>
      <c r="F2" s="20" t="inlineStr">
        <is>
          <t>LOT5</t>
        </is>
      </c>
      <c r="G2" s="21" t="inlineStr">
        <is>
          <t>30d induction</t>
        </is>
      </c>
      <c r="H2" s="22" t="inlineStr">
        <is>
          <t>AUTO SCT</t>
        </is>
      </c>
      <c r="I2" s="23" t="inlineStr">
        <is>
          <t>ALLO SCT</t>
        </is>
      </c>
      <c r="J2" s="24" t="inlineStr">
        <is>
          <t>CAR-T</t>
        </is>
      </c>
      <c r="K2" s="25" t="inlineStr">
        <is>
          <t>Death</t>
        </is>
      </c>
      <c r="L2" s="26" t="inlineStr">
        <is>
          <t>Med add</t>
        </is>
      </c>
    </row>
    <row r="4">
      <c r="A4" s="27" t="inlineStr">
        <is>
          <t>Scenario</t>
        </is>
      </c>
      <c r="B4" s="27" t="inlineStr">
        <is>
          <t>Description</t>
        </is>
      </c>
      <c r="C4" s="27" t="inlineStr">
        <is>
          <t>Day -&gt;</t>
        </is>
      </c>
      <c r="D4" s="28" t="n">
        <v>0</v>
      </c>
      <c r="E4" s="28" t="inlineStr"/>
      <c r="F4" s="28" t="inlineStr"/>
      <c r="G4" s="28" t="inlineStr"/>
      <c r="H4" s="28" t="n">
        <v>56</v>
      </c>
      <c r="I4" s="28" t="inlineStr"/>
      <c r="J4" s="28" t="inlineStr"/>
      <c r="K4" s="28" t="inlineStr"/>
      <c r="L4" s="28" t="n">
        <v>112</v>
      </c>
      <c r="M4" s="28" t="inlineStr"/>
      <c r="N4" s="28" t="inlineStr"/>
      <c r="O4" s="28" t="inlineStr"/>
      <c r="P4" s="28" t="n">
        <v>168</v>
      </c>
      <c r="Q4" s="28" t="inlineStr"/>
      <c r="R4" s="28" t="inlineStr"/>
      <c r="S4" s="28" t="inlineStr"/>
      <c r="T4" s="28" t="n">
        <v>224</v>
      </c>
      <c r="U4" s="28" t="inlineStr"/>
      <c r="V4" s="28" t="inlineStr"/>
      <c r="W4" s="28" t="inlineStr"/>
      <c r="X4" s="28" t="n">
        <v>280</v>
      </c>
      <c r="Y4" s="28" t="inlineStr"/>
      <c r="Z4" s="28" t="inlineStr"/>
      <c r="AA4" s="28" t="inlineStr"/>
      <c r="AB4" s="28" t="n">
        <v>336</v>
      </c>
      <c r="AC4" s="28" t="inlineStr"/>
      <c r="AD4" s="28" t="inlineStr"/>
      <c r="AE4" s="28" t="inlineStr"/>
      <c r="AF4" s="28" t="n">
        <v>392</v>
      </c>
      <c r="AG4" s="28" t="inlineStr"/>
      <c r="AH4" s="28" t="inlineStr"/>
      <c r="AI4" s="28" t="inlineStr"/>
      <c r="AJ4" s="28" t="n">
        <v>448</v>
      </c>
      <c r="AK4" s="28" t="inlineStr"/>
      <c r="AL4" s="28" t="inlineStr"/>
      <c r="AM4" s="28" t="inlineStr"/>
      <c r="AN4" s="28" t="n">
        <v>504</v>
      </c>
      <c r="AO4" s="28" t="inlineStr"/>
      <c r="AP4" s="28" t="inlineStr"/>
      <c r="AQ4" s="28" t="inlineStr"/>
    </row>
    <row r="5" ht="30" customHeight="1">
      <c r="A5" s="12" t="inlineStr">
        <is>
          <t>S1: LOT1 -&gt; LOT2 by MED_ADD</t>
        </is>
      </c>
      <c r="B5" s="29" t="inlineStr">
        <is>
          <t>VRd LOT1; DARA added day 200 -&gt; LOT2 starts on DARA</t>
        </is>
      </c>
      <c r="C5" s="30" t="inlineStr"/>
      <c r="D5" s="31" t="inlineStr"/>
      <c r="E5" s="31" t="inlineStr"/>
      <c r="F5" s="31" t="inlineStr"/>
      <c r="G5" s="31" t="inlineStr"/>
      <c r="H5" s="31" t="inlineStr"/>
      <c r="I5" s="32" t="inlineStr"/>
      <c r="J5" s="32" t="inlineStr"/>
      <c r="K5" s="32" t="inlineStr"/>
      <c r="L5" s="32" t="inlineStr"/>
      <c r="M5" s="32" t="inlineStr"/>
      <c r="N5" s="32" t="inlineStr"/>
      <c r="O5" s="32" t="inlineStr"/>
      <c r="P5" s="32" t="inlineStr"/>
      <c r="Q5" s="32" t="inlineStr"/>
      <c r="R5" s="33" t="inlineStr">
        <is>
          <t>M</t>
        </is>
      </c>
      <c r="S5" s="34" t="inlineStr"/>
      <c r="T5" s="34" t="inlineStr"/>
      <c r="U5" s="35" t="inlineStr"/>
      <c r="V5" s="35" t="inlineStr"/>
      <c r="W5" s="35" t="inlineStr"/>
      <c r="X5" s="35" t="inlineStr"/>
      <c r="Y5" s="35" t="inlineStr"/>
      <c r="Z5" s="35" t="inlineStr"/>
      <c r="AA5" s="35" t="inlineStr"/>
      <c r="AB5" s="35" t="inlineStr"/>
      <c r="AC5" s="35" t="inlineStr"/>
      <c r="AD5" s="35" t="inlineStr"/>
      <c r="AE5" s="35" t="inlineStr"/>
      <c r="AF5" s="35" t="inlineStr"/>
      <c r="AG5" s="35" t="inlineStr"/>
      <c r="AH5" s="35" t="inlineStr"/>
      <c r="AI5" s="35" t="inlineStr"/>
      <c r="AJ5" s="35" t="inlineStr"/>
      <c r="AK5" s="35" t="inlineStr"/>
      <c r="AL5" s="35" t="inlineStr"/>
      <c r="AM5" s="35" t="inlineStr"/>
      <c r="AN5" s="35" t="inlineStr"/>
      <c r="AO5" s="35" t="inlineStr"/>
      <c r="AP5" s="35" t="inlineStr"/>
      <c r="AQ5" s="30" t="inlineStr"/>
    </row>
    <row r="6" ht="30" customHeight="1">
      <c r="A6" s="12" t="inlineStr">
        <is>
          <t>S2: LOT1 -&gt; LOT2 by unplanned AUTO</t>
        </is>
      </c>
      <c r="B6" s="29" t="inlineStr">
        <is>
          <t>Single AUTO d100; second AUTO d320 (&gt;180d) is unplanned -&gt; LOT2 starts d320</t>
        </is>
      </c>
      <c r="C6" s="30" t="inlineStr"/>
      <c r="D6" s="32" t="inlineStr"/>
      <c r="E6" s="32" t="inlineStr"/>
      <c r="F6" s="32" t="inlineStr"/>
      <c r="G6" s="32" t="inlineStr"/>
      <c r="H6" s="32" t="inlineStr"/>
      <c r="I6" s="32" t="inlineStr"/>
      <c r="J6" s="32" t="inlineStr"/>
      <c r="K6" s="36" t="inlineStr">
        <is>
          <t>A</t>
        </is>
      </c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/>
      <c r="X6" s="32" t="inlineStr"/>
      <c r="Y6" s="32" t="inlineStr"/>
      <c r="Z6" s="37" t="inlineStr">
        <is>
          <t>A</t>
        </is>
      </c>
      <c r="AA6" s="34" t="inlineStr"/>
      <c r="AB6" s="34" t="inlineStr"/>
      <c r="AC6" s="35" t="inlineStr"/>
      <c r="AD6" s="35" t="inlineStr"/>
      <c r="AE6" s="35" t="inlineStr"/>
      <c r="AF6" s="35" t="inlineStr"/>
      <c r="AG6" s="35" t="inlineStr"/>
      <c r="AH6" s="35" t="inlineStr"/>
      <c r="AI6" s="35" t="inlineStr"/>
      <c r="AJ6" s="35" t="inlineStr"/>
      <c r="AK6" s="35" t="inlineStr"/>
      <c r="AL6" s="35" t="inlineStr"/>
      <c r="AM6" s="35" t="inlineStr"/>
      <c r="AN6" s="35" t="inlineStr"/>
      <c r="AO6" s="35" t="inlineStr"/>
      <c r="AP6" s="35" t="inlineStr"/>
      <c r="AQ6" s="30" t="inlineStr"/>
    </row>
    <row r="7" ht="30" customHeight="1">
      <c r="A7" s="12" t="inlineStr">
        <is>
          <t>S3: LOT1 -&gt; LOT2 (ALLO LOT) -&gt; LOT3</t>
        </is>
      </c>
      <c r="B7" s="29" t="inlineStr">
        <is>
          <t>ALLO d250 = LOT2 (1-day LOT, no MM); next agent d340 starts LOT3</t>
        </is>
      </c>
      <c r="C7" s="30" t="inlineStr"/>
      <c r="D7" s="32" t="inlineStr"/>
      <c r="E7" s="32" t="inlineStr"/>
      <c r="F7" s="32" t="inlineStr"/>
      <c r="G7" s="32" t="inlineStr"/>
      <c r="H7" s="32" t="inlineStr"/>
      <c r="I7" s="32" t="inlineStr"/>
      <c r="J7" s="32" t="inlineStr"/>
      <c r="K7" s="32" t="inlineStr"/>
      <c r="L7" s="32" t="inlineStr"/>
      <c r="M7" s="32" t="inlineStr"/>
      <c r="N7" s="32" t="inlineStr"/>
      <c r="O7" s="32" t="inlineStr"/>
      <c r="P7" s="32" t="inlineStr"/>
      <c r="Q7" s="32" t="inlineStr"/>
      <c r="R7" s="32" t="inlineStr"/>
      <c r="S7" s="32" t="inlineStr"/>
      <c r="T7" s="32" t="inlineStr"/>
      <c r="U7" s="38" t="inlineStr">
        <is>
          <t>X</t>
        </is>
      </c>
      <c r="V7" s="30" t="inlineStr"/>
      <c r="W7" s="30" t="inlineStr"/>
      <c r="X7" s="30" t="inlineStr"/>
      <c r="Y7" s="30" t="inlineStr"/>
      <c r="Z7" s="30" t="inlineStr"/>
      <c r="AA7" s="30" t="inlineStr"/>
      <c r="AB7" s="39" t="inlineStr"/>
      <c r="AC7" s="39" t="inlineStr"/>
      <c r="AD7" s="39" t="inlineStr"/>
      <c r="AE7" s="40" t="inlineStr"/>
      <c r="AF7" s="40" t="inlineStr"/>
      <c r="AG7" s="40" t="inlineStr"/>
      <c r="AH7" s="40" t="inlineStr"/>
      <c r="AI7" s="40" t="inlineStr"/>
      <c r="AJ7" s="40" t="inlineStr"/>
      <c r="AK7" s="40" t="inlineStr"/>
      <c r="AL7" s="40" t="inlineStr"/>
      <c r="AM7" s="40" t="inlineStr"/>
      <c r="AN7" s="40" t="inlineStr"/>
      <c r="AO7" s="40" t="inlineStr"/>
      <c r="AP7" s="40" t="inlineStr"/>
      <c r="AQ7" s="30" t="inlineStr"/>
    </row>
    <row r="8" ht="30" customHeight="1">
      <c r="A8" s="12" t="inlineStr">
        <is>
          <t>S4: LOT1 -&gt; LOT2 (CAR-T LOT)</t>
        </is>
      </c>
      <c r="B8" s="29" t="inlineStr">
        <is>
          <t>CAR-T d220; agents within 45d are consolidated into LOT2</t>
        </is>
      </c>
      <c r="C8" s="30" t="inlineStr"/>
      <c r="D8" s="32" t="inlineStr"/>
      <c r="E8" s="32" t="inlineStr"/>
      <c r="F8" s="32" t="inlineStr"/>
      <c r="G8" s="32" t="inlineStr"/>
      <c r="H8" s="32" t="inlineStr"/>
      <c r="I8" s="32" t="inlineStr"/>
      <c r="J8" s="32" t="inlineStr"/>
      <c r="K8" s="32" t="inlineStr"/>
      <c r="L8" s="32" t="inlineStr"/>
      <c r="M8" s="32" t="inlineStr"/>
      <c r="N8" s="32" t="inlineStr"/>
      <c r="O8" s="32" t="inlineStr"/>
      <c r="P8" s="32" t="inlineStr"/>
      <c r="Q8" s="32" t="inlineStr"/>
      <c r="R8" s="32" t="inlineStr"/>
      <c r="S8" s="41" t="inlineStr">
        <is>
          <t>C</t>
        </is>
      </c>
      <c r="T8" s="34" t="inlineStr"/>
      <c r="U8" s="34" t="inlineStr"/>
      <c r="V8" s="34" t="inlineStr"/>
      <c r="W8" s="35" t="inlineStr"/>
      <c r="X8" s="35" t="inlineStr"/>
      <c r="Y8" s="35" t="inlineStr"/>
      <c r="Z8" s="35" t="inlineStr"/>
      <c r="AA8" s="35" t="inlineStr"/>
      <c r="AB8" s="35" t="inlineStr"/>
      <c r="AC8" s="35" t="inlineStr"/>
      <c r="AD8" s="35" t="inlineStr"/>
      <c r="AE8" s="35" t="inlineStr"/>
      <c r="AF8" s="35" t="inlineStr"/>
      <c r="AG8" s="35" t="inlineStr"/>
      <c r="AH8" s="35" t="inlineStr"/>
      <c r="AI8" s="35" t="inlineStr"/>
      <c r="AJ8" s="35" t="inlineStr"/>
      <c r="AK8" s="35" t="inlineStr"/>
      <c r="AL8" s="35" t="inlineStr"/>
      <c r="AM8" s="35" t="inlineStr"/>
      <c r="AN8" s="35" t="inlineStr"/>
      <c r="AO8" s="35" t="inlineStr"/>
      <c r="AP8" s="35" t="inlineStr"/>
      <c r="AQ8" s="30" t="inlineStr"/>
    </row>
    <row r="9" ht="30" customHeight="1">
      <c r="A9" s="12" t="inlineStr">
        <is>
          <t>S5: LOT2 -&gt; LOT3 by DISCONTINUATION + new agent</t>
        </is>
      </c>
      <c r="B9" s="29" t="inlineStr">
        <is>
          <t>LOT2 runs out d260; new agent d460 -&gt; LOT3</t>
        </is>
      </c>
      <c r="C9" s="30" t="inlineStr"/>
      <c r="D9" s="32" t="inlineStr"/>
      <c r="E9" s="32" t="inlineStr"/>
      <c r="F9" s="32" t="inlineStr"/>
      <c r="G9" s="32" t="inlineStr"/>
      <c r="H9" s="32" t="inlineStr"/>
      <c r="I9" s="32" t="inlineStr"/>
      <c r="J9" s="32" t="inlineStr"/>
      <c r="K9" s="32" t="inlineStr"/>
      <c r="L9" s="32" t="inlineStr"/>
      <c r="M9" s="32" t="inlineStr"/>
      <c r="N9" s="32" t="inlineStr"/>
      <c r="O9" s="32" t="inlineStr"/>
      <c r="P9" s="32" t="inlineStr"/>
      <c r="Q9" s="32" t="inlineStr"/>
      <c r="R9" s="34" t="inlineStr"/>
      <c r="S9" s="34" t="inlineStr"/>
      <c r="T9" s="34" t="inlineStr"/>
      <c r="U9" s="35" t="inlineStr"/>
      <c r="V9" s="35" t="inlineStr"/>
      <c r="W9" s="30" t="inlineStr"/>
      <c r="X9" s="30" t="inlineStr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  <c r="AJ9" s="39" t="inlineStr"/>
      <c r="AK9" s="39" t="inlineStr"/>
      <c r="AL9" s="39" t="inlineStr"/>
      <c r="AM9" s="40" t="inlineStr"/>
      <c r="AN9" s="40" t="inlineStr"/>
      <c r="AO9" s="40" t="inlineStr"/>
      <c r="AP9" s="40" t="inlineStr"/>
      <c r="AQ9" s="30" t="inlineStr"/>
    </row>
    <row r="10" ht="30" customHeight="1">
      <c r="A10" s="12" t="inlineStr">
        <is>
          <t>S6: LOT3 ends by DEATH</t>
        </is>
      </c>
      <c r="B10" s="29" t="inlineStr">
        <is>
          <t>Death d420 closes LOT3; no LOT4</t>
        </is>
      </c>
      <c r="C10" s="30" t="inlineStr"/>
      <c r="D10" s="32" t="inlineStr"/>
      <c r="E10" s="32" t="inlineStr"/>
      <c r="F10" s="32" t="inlineStr"/>
      <c r="G10" s="32" t="inlineStr"/>
      <c r="H10" s="32" t="inlineStr"/>
      <c r="I10" s="32" t="inlineStr"/>
      <c r="J10" s="32" t="inlineStr"/>
      <c r="K10" s="32" t="inlineStr"/>
      <c r="L10" s="32" t="inlineStr"/>
      <c r="M10" s="32" t="inlineStr"/>
      <c r="N10" s="32" t="inlineStr"/>
      <c r="O10" s="32" t="inlineStr"/>
      <c r="P10" s="32" t="inlineStr"/>
      <c r="Q10" s="32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40" t="inlineStr"/>
      <c r="AC10" s="40" t="inlineStr"/>
      <c r="AD10" s="40" t="inlineStr"/>
      <c r="AE10" s="40" t="inlineStr"/>
      <c r="AF10" s="40" t="inlineStr"/>
      <c r="AG10" s="40" t="inlineStr"/>
      <c r="AH10" s="42" t="inlineStr">
        <is>
          <t>+</t>
        </is>
      </c>
      <c r="AI10" s="30" t="inlineStr"/>
      <c r="AJ10" s="30" t="inlineStr"/>
      <c r="AK10" s="30" t="inlineStr"/>
      <c r="AL10" s="30" t="inlineStr"/>
      <c r="AM10" s="30" t="inlineStr"/>
      <c r="AN10" s="30" t="inlineStr"/>
      <c r="AO10" s="30" t="inlineStr"/>
      <c r="AP10" s="30" t="inlineStr"/>
      <c r="AQ10" s="30" t="inlineStr"/>
    </row>
    <row r="11" ht="30" customHeight="1">
      <c r="A11" s="12" t="inlineStr">
        <is>
          <t>S7: Tandem AUTO during LOT2 (NO new LOT)</t>
        </is>
      </c>
      <c r="B11" s="29" t="inlineStr">
        <is>
          <t>AUTO d250 then AUTO d340 (90d apart, planned tandem) - LOT2 continues</t>
        </is>
      </c>
      <c r="C11" s="30" t="inlineStr"/>
      <c r="D11" s="32" t="inlineStr"/>
      <c r="E11" s="32" t="inlineStr"/>
      <c r="F11" s="32" t="inlineStr"/>
      <c r="G11" s="32" t="inlineStr"/>
      <c r="H11" s="32" t="inlineStr"/>
      <c r="I11" s="32" t="inlineStr"/>
      <c r="J11" s="32" t="inlineStr"/>
      <c r="K11" s="32" t="inlineStr"/>
      <c r="L11" s="32" t="inlineStr"/>
      <c r="M11" s="32" t="inlineStr"/>
      <c r="N11" s="32" t="inlineStr"/>
      <c r="O11" s="32" t="inlineStr"/>
      <c r="P11" s="32" t="inlineStr"/>
      <c r="Q11" s="32" t="inlineStr"/>
      <c r="R11" s="34" t="inlineStr"/>
      <c r="S11" s="34" t="inlineStr"/>
      <c r="T11" s="34" t="inlineStr"/>
      <c r="U11" s="36" t="inlineStr">
        <is>
          <t>A</t>
        </is>
      </c>
      <c r="V11" s="35" t="inlineStr"/>
      <c r="W11" s="35" t="inlineStr"/>
      <c r="X11" s="35" t="inlineStr"/>
      <c r="Y11" s="35" t="inlineStr"/>
      <c r="Z11" s="35" t="inlineStr"/>
      <c r="AA11" s="35" t="inlineStr"/>
      <c r="AB11" s="36" t="inlineStr">
        <is>
          <t>A</t>
        </is>
      </c>
      <c r="AC11" s="35" t="inlineStr"/>
      <c r="AD11" s="35" t="inlineStr"/>
      <c r="AE11" s="35" t="inlineStr"/>
      <c r="AF11" s="35" t="inlineStr"/>
      <c r="AG11" s="35" t="inlineStr"/>
      <c r="AH11" s="35" t="inlineStr"/>
      <c r="AI11" s="35" t="inlineStr"/>
      <c r="AJ11" s="35" t="inlineStr"/>
      <c r="AK11" s="35" t="inlineStr"/>
      <c r="AL11" s="35" t="inlineStr"/>
      <c r="AM11" s="35" t="inlineStr"/>
      <c r="AN11" s="35" t="inlineStr"/>
      <c r="AO11" s="35" t="inlineStr"/>
      <c r="AP11" s="35" t="inlineStr"/>
      <c r="AQ11" s="30" t="inlineStr"/>
    </row>
    <row r="13">
      <c r="A13" s="3" t="inlineStr">
        <is>
          <t>Each cell = ~14 days. Markers: M=Med add, A=AUTO SCT, X=ALLO SCT, C=CAR-T, +=Death. Yellow top edge = induction window overlay. Single-cell-only LOT = singleton ALLO LOT (Q2 draft assumption).</t>
        </is>
      </c>
    </row>
  </sheetData>
  <mergeCells count="2">
    <mergeCell ref="A13:AQ13"/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18" customWidth="1" min="4" max="4"/>
    <col width="50" customWidth="1" min="5" max="5"/>
  </cols>
  <sheetData>
    <row r="1" ht="22" customHeight="1">
      <c r="A1" s="14" t="inlineStr">
        <is>
          <t>Decision flow: when does LOT(N+1) start?</t>
        </is>
      </c>
    </row>
    <row r="2" ht="36" customHeight="1">
      <c r="A2" s="3" t="inlineStr">
        <is>
          <t>Date-driven, NOT type-driven. Step 1: collect candidate dates. Step 2: pick earliest. Step 3: tie-break by type only if multiple triggers fall on that same date.</t>
        </is>
      </c>
    </row>
    <row r="4">
      <c r="A4" s="6" t="inlineStr">
        <is>
          <t>Step</t>
        </is>
      </c>
      <c r="B4" s="6" t="inlineStr">
        <is>
          <t>Action</t>
        </is>
      </c>
      <c r="C4" s="6" t="inlineStr">
        <is>
          <t>Detail</t>
        </is>
      </c>
      <c r="D4" s="6" t="inlineStr">
        <is>
          <t>Output</t>
        </is>
      </c>
      <c r="E4" s="6" t="inlineStr">
        <is>
          <t>Notes</t>
        </is>
      </c>
    </row>
    <row r="5" ht="60" customHeight="1">
      <c r="A5" s="12" t="inlineStr">
        <is>
          <t>1</t>
        </is>
      </c>
      <c r="B5" s="7" t="inlineStr">
        <is>
          <t>Collect candidate trigger dates AFTER LOT_N_BASE_END_DT.</t>
        </is>
      </c>
      <c r="C5" s="7" t="inlineStr">
        <is>
          <t>Compute, for each trigger type, the earliest qualifying date (if any):
  d_MED   = first non-steroid MM agent MAP_START_DT (excl. permissible biosimilar subs)
  d_ALLO  = first ALLO SCT date
  d_CART  = first CAR-T infusion date (FIRST_CART_DT)
  d_AUTO  = first UNPLANNED AUTO date (&gt;180d after the most recent prior AUTO in the patient's history; if no prior AUTO, AUTO is NOT a candidate).</t>
        </is>
      </c>
      <c r="D5" s="7" t="inlineStr">
        <is>
          <t>Up to 4 candidate dates</t>
        </is>
      </c>
      <c r="E5" s="7" t="inlineStr">
        <is>
          <t>Planned/single/tandem AUTO (60-180d intervals) is a CONTINUATION and is NOT a candidate.</t>
        </is>
      </c>
    </row>
    <row r="6" ht="60" customHeight="1">
      <c r="A6" s="12" t="inlineStr">
        <is>
          <t>2</t>
        </is>
      </c>
      <c r="B6" s="7" t="inlineStr">
        <is>
          <t>Pick the earliest candidate date.</t>
        </is>
      </c>
      <c r="C6" s="7" t="inlineStr">
        <is>
          <t>LOT_(N+1)_START_DT = min(d_MED, d_ALLO, d_CART, d_AUTO).</t>
        </is>
      </c>
      <c r="D6" s="7" t="inlineStr">
        <is>
          <t>LOT_(N+1)_START_DT</t>
        </is>
      </c>
      <c r="E6" s="7" t="inlineStr">
        <is>
          <t>An earlier MED beats a later ALLO/CART/AUTO.</t>
        </is>
      </c>
    </row>
    <row r="7" ht="60" customHeight="1">
      <c r="A7" s="12" t="inlineStr">
        <is>
          <t>3</t>
        </is>
      </c>
      <c r="B7" s="7" t="inlineStr">
        <is>
          <t>If exactly one candidate equals that earliest date, set its type.</t>
        </is>
      </c>
      <c r="C7" s="7" t="inlineStr">
        <is>
          <t>LOTN+1_START_TYPE = the type of the unique earliest candidate.</t>
        </is>
      </c>
      <c r="D7" s="7" t="inlineStr">
        <is>
          <t>LOTN+1_START_TYPE</t>
        </is>
      </c>
      <c r="E7" s="7" t="inlineStr"/>
    </row>
    <row r="8" ht="60" customHeight="1">
      <c r="A8" s="12" t="inlineStr">
        <is>
          <t>3a</t>
        </is>
      </c>
      <c r="B8" s="7" t="inlineStr">
        <is>
          <t>Same-day tie-break (DRAFT, inherits LOT1 - confirm).</t>
        </is>
      </c>
      <c r="C8" s="7" t="inlineStr">
        <is>
          <t>If multiple triggers share LOT_(N+1)_START_DT: SCT_ALLO &gt; CART &gt; SCT_AUTO &gt; MED.</t>
        </is>
      </c>
      <c r="D8" s="7" t="inlineStr">
        <is>
          <t>LOTN+1_START_TYPE</t>
        </is>
      </c>
      <c r="E8" s="7" t="inlineStr">
        <is>
          <t>Tie-breaks ONLY on identical dates - never overrides date order.</t>
        </is>
      </c>
    </row>
    <row r="9" ht="60" customHeight="1">
      <c r="A9" s="12" t="inlineStr">
        <is>
          <t>4</t>
        </is>
      </c>
      <c r="B9" s="7" t="inlineStr">
        <is>
          <t>If no candidate dates exist, evaluate end-of-follow-up.</t>
        </is>
      </c>
      <c r="C9" s="7" t="inlineStr">
        <is>
          <t>If DEATH (YMDOD) or STUDY_END is reached, no LOT_(N+1).</t>
        </is>
      </c>
      <c r="D9" s="7" t="inlineStr">
        <is>
          <t>No LOT_(N+1)</t>
        </is>
      </c>
      <c r="E9" s="7" t="inlineStr">
        <is>
          <t>PRIMARY analysis closes here. Disenrollment is NOT a primary closure.</t>
        </is>
      </c>
    </row>
    <row r="10" ht="60" customHeight="1">
      <c r="A10" s="12" t="inlineStr">
        <is>
          <t>5 (SENSITIVITY)</t>
        </is>
      </c>
      <c r="B10" s="7" t="inlineStr">
        <is>
          <t>If CENSOR_AT_DISENROLLMENT = TRUE, additionally cap observation at ELIGEND.</t>
        </is>
      </c>
      <c r="C10" s="7" t="inlineStr">
        <is>
          <t>LOTN_BASE_END_DT_CE_SENS = min(LOTN_BASE_END_DT, ELIGEND); reason = DISENROLLMENT when ELIGEND binds.</t>
        </is>
      </c>
      <c r="D10" s="7" t="inlineStr">
        <is>
          <t>Sensitivity outputs only</t>
        </is>
      </c>
      <c r="E10" s="7" t="inlineStr">
        <is>
          <t>Does not affect LOT_(N+1) start. See Q12.</t>
        </is>
      </c>
    </row>
    <row r="12" ht="50" customHeight="1">
      <c r="A12" s="43" t="inlineStr">
        <is>
          <t>END-REASON same-day priority (separate from LOT-start tie-break in Step 3a; DRAFT, inherits LOT1 - confirm): SCT_ALLO &gt; SCT_CART &gt; SCT_AUTO &gt; CART_INIT &gt; MED_ADD &gt; DISCONTINUATION &gt; DEATH &gt; STUDY_END. SENSITIVITY adds DISENROLLMENT before STUDY_END. See LOTN_BASE_END_REASON in tab 4.</t>
        </is>
      </c>
    </row>
  </sheetData>
  <mergeCells count="3">
    <mergeCell ref="A2:E2"/>
    <mergeCell ref="A1:E1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2026-05-01T18:56:38Z</dcterms:created>
  <dcterms:modified xsi:type="dcterms:W3CDTF">2026-05-01T18:56:38Z</dcterms:modified>
</cp:coreProperties>
</file>